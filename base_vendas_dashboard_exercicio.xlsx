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D:\Arquivos\Downloads\"/>
    </mc:Choice>
  </mc:AlternateContent>
  <xr:revisionPtr revIDLastSave="0" documentId="13_ncr:1_{77600919-83A1-4C45-A392-7068F01B8EFA}" xr6:coauthVersionLast="43" xr6:coauthVersionMax="43" xr10:uidLastSave="{00000000-0000-0000-0000-000000000000}"/>
  <bookViews>
    <workbookView xWindow="-120" yWindow="-120" windowWidth="51840" windowHeight="21120" activeTab="3" xr2:uid="{00000000-000D-0000-FFFF-FFFF00000000}"/>
  </bookViews>
  <sheets>
    <sheet name="Assets" sheetId="2" r:id="rId1"/>
    <sheet name="Bases" sheetId="1" r:id="rId2"/>
    <sheet name="Calculos" sheetId="3" r:id="rId3"/>
    <sheet name="Dashboard" sheetId="4" r:id="rId4"/>
  </sheets>
  <definedNames>
    <definedName name="_xlnm._FilterDatabase" localSheetId="1" hidden="1">Bases!$A$1:$H$121</definedName>
    <definedName name="SegmentaçãodeDados_Região">#N/A</definedName>
    <definedName name="SegmentaçãodeDados_Vendedor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L115" i="1" l="1"/>
</calcChain>
</file>

<file path=xl/sharedStrings.xml><?xml version="1.0" encoding="utf-8"?>
<sst xmlns="http://schemas.openxmlformats.org/spreadsheetml/2006/main" count="643" uniqueCount="82">
  <si>
    <t>Data</t>
  </si>
  <si>
    <t>Região</t>
  </si>
  <si>
    <t>Vendedor</t>
  </si>
  <si>
    <t>Produto</t>
  </si>
  <si>
    <t>Categoria</t>
  </si>
  <si>
    <t>Quantidade</t>
  </si>
  <si>
    <t>Preço Unitário</t>
  </si>
  <si>
    <t>Valor Total</t>
  </si>
  <si>
    <t>2025-01-19</t>
  </si>
  <si>
    <t>Centro-Oeste</t>
  </si>
  <si>
    <t>Eduardo</t>
  </si>
  <si>
    <t>Teclado</t>
  </si>
  <si>
    <t>Acessórios</t>
  </si>
  <si>
    <t>2025-02-04</t>
  </si>
  <si>
    <t>Nordeste</t>
  </si>
  <si>
    <t>Fernanda</t>
  </si>
  <si>
    <t>Mouse</t>
  </si>
  <si>
    <t>2025-02-23</t>
  </si>
  <si>
    <t>Ana</t>
  </si>
  <si>
    <t>Headset</t>
  </si>
  <si>
    <t>2025-02-19</t>
  </si>
  <si>
    <t>Carlos</t>
  </si>
  <si>
    <t>2025-03-01</t>
  </si>
  <si>
    <t>2025-01-17</t>
  </si>
  <si>
    <t>Norte</t>
  </si>
  <si>
    <t>2025-01-20</t>
  </si>
  <si>
    <t>2025-01-11</t>
  </si>
  <si>
    <t>Daniela</t>
  </si>
  <si>
    <t>Notebook</t>
  </si>
  <si>
    <t>Eletrônicos</t>
  </si>
  <si>
    <t>2025-01-22</t>
  </si>
  <si>
    <t>Monitor</t>
  </si>
  <si>
    <t>2025-01-01</t>
  </si>
  <si>
    <t>2025-01-10</t>
  </si>
  <si>
    <t>2025-01-04</t>
  </si>
  <si>
    <t>2025-02-14</t>
  </si>
  <si>
    <t>2025-02-20</t>
  </si>
  <si>
    <t>Sul</t>
  </si>
  <si>
    <t>2025-02-24</t>
  </si>
  <si>
    <t>2025-02-05</t>
  </si>
  <si>
    <t>2025-01-14</t>
  </si>
  <si>
    <t>Sudeste</t>
  </si>
  <si>
    <t>2025-03-02</t>
  </si>
  <si>
    <t>Bruno</t>
  </si>
  <si>
    <t>2025-02-16</t>
  </si>
  <si>
    <t>2025-02-10</t>
  </si>
  <si>
    <t>2025-02-15</t>
  </si>
  <si>
    <t>2025-01-03</t>
  </si>
  <si>
    <t>2025-02-01</t>
  </si>
  <si>
    <t>2025-01-09</t>
  </si>
  <si>
    <t>2025-01-29</t>
  </si>
  <si>
    <t>2025-01-07</t>
  </si>
  <si>
    <t>2025-01-23</t>
  </si>
  <si>
    <t>2025-02-12</t>
  </si>
  <si>
    <t>2025-01-21</t>
  </si>
  <si>
    <t>2025-02-11</t>
  </si>
  <si>
    <t>2025-01-13</t>
  </si>
  <si>
    <t>2025-02-06</t>
  </si>
  <si>
    <t>2025-01-16</t>
  </si>
  <si>
    <t>2025-01-15</t>
  </si>
  <si>
    <t>2025-02-27</t>
  </si>
  <si>
    <t>2025-02-28</t>
  </si>
  <si>
    <t>2025-01-24</t>
  </si>
  <si>
    <t>2025-02-17</t>
  </si>
  <si>
    <t>2025-02-25</t>
  </si>
  <si>
    <t>2025-01-02</t>
  </si>
  <si>
    <t>2025-01-18</t>
  </si>
  <si>
    <t>2025-02-07</t>
  </si>
  <si>
    <t>2025-02-18</t>
  </si>
  <si>
    <t>2025-02-03</t>
  </si>
  <si>
    <t>2025-02-26</t>
  </si>
  <si>
    <t>2025-02-02</t>
  </si>
  <si>
    <t>2025-01-26</t>
  </si>
  <si>
    <t>2025-01-25</t>
  </si>
  <si>
    <t>2025-01-31</t>
  </si>
  <si>
    <t>2025-02-13</t>
  </si>
  <si>
    <t>Rótulos de Linha</t>
  </si>
  <si>
    <t>Total Geral</t>
  </si>
  <si>
    <t>Soma de Quantidade</t>
  </si>
  <si>
    <t>Soma de Valor Total</t>
  </si>
  <si>
    <t>Contagem de Quantidade</t>
  </si>
  <si>
    <t>Tech Shop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</si>
</sst>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[$R$-416]\ * #,##0.00_-;\-[$R$-416]\ * #,##0.00_-;_-[$R$-416]\ * &quot;-&quot;??_-;_-@_-"/>
  </numFmts>
  <fonts count="3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3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2" borderId="0" xfId="0" applyFill="1" applyAlignment="1"/>
    <xf numFmtId="0" fontId="1" fillId="2" borderId="1" xfId="1" applyFill="1" applyAlignment="1"/>
    <xf numFmtId="0" fontId="1" fillId="2" borderId="1" xfId="1" applyFill="1"/>
    <xf numFmtId="0" fontId="2" fillId="2" borderId="1" xfId="1" applyFont="1" applyFill="1" applyAlignment="1">
      <alignment vertical="center"/>
    </xf>
    <xf numFmtId="0" fontId="2" fillId="2" borderId="1" xfId="1" applyFont="1" applyFill="1" applyAlignment="1"/>
    <xf numFmtId="0" fontId="2" fillId="2" borderId="1" xfId="1" applyFont="1" applyFill="1" applyAlignment="1">
      <alignment horizontal="left" vertical="center" indent="6"/>
    </xf>
  </cellXfs>
  <cellStyles count="2">
    <cellStyle name="Normal" xfId="0" builtinId="0"/>
    <cellStyle name="Título 1" xfId="1" builtinId="16"/>
  </cellStyles>
  <dxfs count="7"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1" defaultTableStyle="TableStyleMedium9" defaultPivotStyle="PivotStyleLight16">
    <tableStyle name="SlicerStyleLight6 2" pivot="0" table="0" count="10" xr9:uid="{BA94E5AE-2F53-49BD-A6E3-83FD9A873B64}">
      <tableStyleElement type="wholeTable" dxfId="6"/>
      <tableStyleElement type="headerRow" dxfId="5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[base_vendas_dashboard_120_registros.xlsx]Calculos!Tabela dinâmica4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50000"/>
            </a:schemeClr>
          </a:solidFill>
          <a:ln w="25400">
            <a:noFill/>
          </a:ln>
          <a:effectLst/>
          <a:sp3d/>
        </c:spPr>
      </c:pivotFmt>
      <c:pivotFmt>
        <c:idx val="2"/>
        <c:spPr>
          <a:solidFill>
            <a:schemeClr val="accent6">
              <a:lumMod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50000"/>
            </a:schemeClr>
          </a:solidFill>
          <a:ln w="25400">
            <a:noFill/>
          </a:ln>
          <a:effectLst/>
          <a:sp3d/>
        </c:spPr>
      </c:pivotFmt>
      <c:pivotFmt>
        <c:idx val="5"/>
        <c:spPr>
          <a:solidFill>
            <a:schemeClr val="accent6">
              <a:lumMod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lumMod val="50000"/>
            </a:schemeClr>
          </a:solidFill>
          <a:ln w="25400">
            <a:noFill/>
          </a:ln>
          <a:effectLst/>
          <a:sp3d/>
        </c:spPr>
      </c:pivotFmt>
      <c:pivotFmt>
        <c:idx val="8"/>
        <c:spPr>
          <a:solidFill>
            <a:schemeClr val="accent6">
              <a:lumMod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05"/>
          <c:y val="0.33170858850976959"/>
          <c:w val="0.7608560804899388"/>
          <c:h val="0.50264545056867893"/>
        </c:manualLayout>
      </c:layout>
      <c:pie3DChart>
        <c:varyColors val="1"/>
        <c:ser>
          <c:idx val="0"/>
          <c:order val="0"/>
          <c:tx>
            <c:strRef>
              <c:f>Calculos!$F$5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ADEA-4526-8E2C-38A3A8DED11A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DEA-4526-8E2C-38A3A8DED11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Calculos!$E$6:$E$8</c:f>
              <c:strCache>
                <c:ptCount val="2"/>
                <c:pt idx="0">
                  <c:v>Acessórios</c:v>
                </c:pt>
                <c:pt idx="1">
                  <c:v>Eletrônicos</c:v>
                </c:pt>
              </c:strCache>
            </c:strRef>
          </c:cat>
          <c:val>
            <c:numRef>
              <c:f>Calculos!$F$6:$F$8</c:f>
              <c:numCache>
                <c:formatCode>General</c:formatCode>
                <c:ptCount val="2"/>
                <c:pt idx="0">
                  <c:v>66</c:v>
                </c:pt>
                <c:pt idx="1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EA-4526-8E2C-38A3A8DED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layout>
        <c:manualLayout>
          <c:xMode val="edge"/>
          <c:yMode val="edge"/>
          <c:x val="0.72840827433448208"/>
          <c:y val="0.51705989791572737"/>
          <c:w val="0.2493282654841506"/>
          <c:h val="0.246594238289730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[base_vendas_dashboard_120_registros.xlsx]Calculos!Tabela dinâmica9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>
              <a:lumMod val="5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lumMod val="5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6.2948162729658794E-2"/>
              <c:y val="0.180707567804024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0.11451006124234471"/>
              <c:y val="-0.3119692330125400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Calculos!$F$14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</c:spPr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21F-4C74-B5F0-8D057379D02B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21F-4C74-B5F0-8D057379D02B}"/>
              </c:ext>
            </c:extLst>
          </c:dPt>
          <c:dLbls>
            <c:dLbl>
              <c:idx val="0"/>
              <c:layout>
                <c:manualLayout>
                  <c:x val="-6.2948162729658794E-2"/>
                  <c:y val="0.1807075678040245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21F-4C74-B5F0-8D057379D02B}"/>
                </c:ext>
              </c:extLst>
            </c:dLbl>
            <c:dLbl>
              <c:idx val="1"/>
              <c:layout>
                <c:manualLayout>
                  <c:x val="0.11451006124234471"/>
                  <c:y val="-0.31196923301254009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21F-4C74-B5F0-8D057379D0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Calculos!$E$15:$E$17</c:f>
              <c:strCache>
                <c:ptCount val="2"/>
                <c:pt idx="0">
                  <c:v>Acessórios</c:v>
                </c:pt>
                <c:pt idx="1">
                  <c:v>Eletrônicos</c:v>
                </c:pt>
              </c:strCache>
            </c:strRef>
          </c:cat>
          <c:val>
            <c:numRef>
              <c:f>Calculos!$F$15:$F$17</c:f>
              <c:numCache>
                <c:formatCode>_-[$R$-416]\ * #,##0.00_-;\-[$R$-416]\ * #,##0.00_-;_-[$R$-416]\ * "-"??_-;_-@_-</c:formatCode>
                <c:ptCount val="2"/>
                <c:pt idx="0">
                  <c:v>11180</c:v>
                </c:pt>
                <c:pt idx="1">
                  <c:v>189100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21F-4C74-B5F0-8D057379D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136553876711355"/>
          <c:y val="0.53756772931393482"/>
          <c:w val="0.22061644321486842"/>
          <c:h val="0.190509043500400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[base_vendas_dashboard_120_registros.xlsx]Calculos!Tabela dinâmica8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0580927384076994E-2"/>
          <c:y val="5.0925925925925923E-2"/>
          <c:w val="0.9155301837270341"/>
          <c:h val="0.84167468649752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Calculos!$F$27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Calculos!$E$28:$E$33</c:f>
              <c:strCache>
                <c:ptCount val="5"/>
                <c:pt idx="0">
                  <c:v>Headset</c:v>
                </c:pt>
                <c:pt idx="1">
                  <c:v>Monitor</c:v>
                </c:pt>
                <c:pt idx="2">
                  <c:v>Mouse</c:v>
                </c:pt>
                <c:pt idx="3">
                  <c:v>Notebook</c:v>
                </c:pt>
                <c:pt idx="4">
                  <c:v>Teclado</c:v>
                </c:pt>
              </c:strCache>
            </c:strRef>
          </c:cat>
          <c:val>
            <c:numRef>
              <c:f>Calculos!$F$28:$F$33</c:f>
              <c:numCache>
                <c:formatCode>General</c:formatCode>
                <c:ptCount val="5"/>
                <c:pt idx="0">
                  <c:v>5</c:v>
                </c:pt>
                <c:pt idx="1">
                  <c:v>6</c:v>
                </c:pt>
                <c:pt idx="2">
                  <c:v>6</c:v>
                </c:pt>
                <c:pt idx="3">
                  <c:v>9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B0-468C-97D8-7F92A30497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3403935"/>
        <c:axId val="1627408367"/>
      </c:barChart>
      <c:catAx>
        <c:axId val="283403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27408367"/>
        <c:crosses val="autoZero"/>
        <c:auto val="1"/>
        <c:lblAlgn val="ctr"/>
        <c:lblOffset val="100"/>
        <c:noMultiLvlLbl val="0"/>
      </c:catAx>
      <c:valAx>
        <c:axId val="1627408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3403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[base_vendas_dashboard_120_registros.xlsx]Calculos!Tabela dinâmica6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Calculos!$I$14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Calculos!$H$15:$H$20</c:f>
              <c:strCache>
                <c:ptCount val="5"/>
                <c:pt idx="0">
                  <c:v>Headset</c:v>
                </c:pt>
                <c:pt idx="1">
                  <c:v>Monitor</c:v>
                </c:pt>
                <c:pt idx="2">
                  <c:v>Mouse</c:v>
                </c:pt>
                <c:pt idx="3">
                  <c:v>Notebook</c:v>
                </c:pt>
                <c:pt idx="4">
                  <c:v>Teclado</c:v>
                </c:pt>
              </c:strCache>
            </c:strRef>
          </c:cat>
          <c:val>
            <c:numRef>
              <c:f>Calculos!$I$15:$I$20</c:f>
              <c:numCache>
                <c:formatCode>_-[$R$-416]\ * #,##0.00_-;\-[$R$-416]\ * #,##0.00_-;_-[$R$-416]\ * "-"??_-;_-@_-</c:formatCode>
                <c:ptCount val="5"/>
                <c:pt idx="0">
                  <c:v>2700</c:v>
                </c:pt>
                <c:pt idx="1">
                  <c:v>32400</c:v>
                </c:pt>
                <c:pt idx="2">
                  <c:v>3760</c:v>
                </c:pt>
                <c:pt idx="3">
                  <c:v>49000</c:v>
                </c:pt>
                <c:pt idx="4">
                  <c:v>5850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79-46FB-94C9-E156F4CB5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3400735"/>
        <c:axId val="1621709151"/>
      </c:barChart>
      <c:catAx>
        <c:axId val="283400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21709151"/>
        <c:crosses val="autoZero"/>
        <c:auto val="1"/>
        <c:lblAlgn val="ctr"/>
        <c:lblOffset val="100"/>
        <c:noMultiLvlLbl val="0"/>
      </c:catAx>
      <c:valAx>
        <c:axId val="1621709151"/>
        <c:scaling>
          <c:orientation val="minMax"/>
        </c:scaling>
        <c:delete val="0"/>
        <c:axPos val="l"/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3400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2.png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142876</xdr:colOff>
      <xdr:row>6</xdr:row>
      <xdr:rowOff>114300</xdr:rowOff>
    </xdr:from>
    <xdr:to>
      <xdr:col>5</xdr:col>
      <xdr:colOff>247650</xdr:colOff>
      <xdr:row>14</xdr:row>
      <xdr:rowOff>66675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DBD630C-482D-4341-ACA2-6B9B32E51F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68" t="11014" r="8510" b="48304"/>
        <a:stretch/>
      </xdr:blipFill>
      <xdr:spPr>
        <a:xfrm>
          <a:off x="1362076" y="1257300"/>
          <a:ext cx="1933574" cy="1476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1200151</xdr:colOff>
      <xdr:row>5</xdr:row>
      <xdr:rowOff>19050</xdr:rowOff>
    </xdr:from>
    <xdr:to>
      <xdr:col>16</xdr:col>
      <xdr:colOff>1</xdr:colOff>
      <xdr:row>11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B800399A-8BB2-44EC-8962-57D0C004C4E8}"/>
            </a:ext>
          </a:extLst>
        </xdr:cNvPr>
        <xdr:cNvSpPr txBox="1">
          <a:spLocks noChangeArrowheads="1"/>
        </xdr:cNvSpPr>
      </xdr:nvSpPr>
      <xdr:spPr bwMode="auto">
        <a:xfrm>
          <a:off x="13982701" y="971550"/>
          <a:ext cx="4019550" cy="11239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pt-BR" sz="12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✔️ Pergunta de Negócio 1 - Qual o faturamento total</a:t>
          </a:r>
        </a:p>
        <a:p>
          <a:pPr algn="l" rtl="0">
            <a:defRPr sz="1000"/>
          </a:pPr>
          <a:r>
            <a:rPr lang="pt-BR" sz="12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✔️ </a:t>
          </a:r>
          <a:r>
            <a:rPr lang="pt-BR" sz="1200" b="0" i="0" baseline="0">
              <a:effectLst/>
              <a:latin typeface="+mn-lt"/>
              <a:ea typeface="+mn-ea"/>
              <a:cs typeface="+mn-cs"/>
            </a:rPr>
            <a:t>Pergunta de Negócio 2 - Quais as maiores </a:t>
          </a:r>
          <a:r>
            <a:rPr lang="pt-BR" sz="1200" b="0" i="0" u="none" strike="noStrike" baseline="0">
              <a:solidFill>
                <a:srgbClr val="000000"/>
              </a:solidFill>
              <a:effectLst/>
              <a:latin typeface="Calibri"/>
              <a:ea typeface="Calibri"/>
              <a:cs typeface="Calibri"/>
            </a:rPr>
            <a:t>v</a:t>
          </a:r>
          <a:r>
            <a:rPr lang="pt-BR" sz="12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endas por região</a:t>
          </a:r>
        </a:p>
        <a:p>
          <a:pPr algn="l" rtl="0">
            <a:defRPr sz="1000"/>
          </a:pPr>
          <a:r>
            <a:rPr lang="pt-BR" sz="12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✔️ </a:t>
          </a:r>
          <a:r>
            <a:rPr lang="pt-BR" sz="1200" b="0" i="0" baseline="0">
              <a:effectLst/>
              <a:latin typeface="+mn-lt"/>
              <a:ea typeface="+mn-ea"/>
              <a:cs typeface="+mn-cs"/>
            </a:rPr>
            <a:t>Pergunta de Negócio 3 - Quais as  </a:t>
          </a:r>
          <a:r>
            <a:rPr lang="pt-BR" sz="1200" b="0" i="0" u="none" strike="noStrike" baseline="0">
              <a:solidFill>
                <a:srgbClr val="000000"/>
              </a:solidFill>
              <a:effectLst/>
              <a:latin typeface="Calibri"/>
              <a:ea typeface="Calibri"/>
              <a:cs typeface="Calibri"/>
            </a:rPr>
            <a:t>v</a:t>
          </a:r>
          <a:r>
            <a:rPr lang="pt-BR" sz="12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endas por vendedor</a:t>
          </a:r>
        </a:p>
        <a:p>
          <a:pPr algn="l" rtl="0">
            <a:defRPr sz="1000"/>
          </a:pPr>
          <a:r>
            <a:rPr lang="pt-BR" sz="12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✔️ </a:t>
          </a:r>
          <a:r>
            <a:rPr lang="pt-BR" sz="1200" b="0" i="0" baseline="0">
              <a:effectLst/>
              <a:latin typeface="+mn-lt"/>
              <a:ea typeface="+mn-ea"/>
              <a:cs typeface="+mn-cs"/>
            </a:rPr>
            <a:t>Pergunta de Negócio 4 - Qual o </a:t>
          </a:r>
          <a:r>
            <a:rPr lang="pt-BR" sz="1200" b="0" i="0" u="none" strike="noStrike" baseline="0">
              <a:solidFill>
                <a:srgbClr val="000000"/>
              </a:solidFill>
              <a:effectLst/>
              <a:latin typeface="Calibri"/>
              <a:ea typeface="Calibri"/>
              <a:cs typeface="Calibri"/>
            </a:rPr>
            <a:t>p</a:t>
          </a:r>
          <a:r>
            <a:rPr lang="pt-BR" sz="12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rodutos mais vendidos</a:t>
          </a:r>
        </a:p>
        <a:p>
          <a:pPr algn="l" rtl="0">
            <a:defRPr sz="1000"/>
          </a:pPr>
          <a:r>
            <a:rPr lang="pt-BR" sz="12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✔️ </a:t>
          </a:r>
          <a:r>
            <a:rPr lang="pt-BR" sz="1200" b="0" i="0" baseline="0">
              <a:effectLst/>
              <a:latin typeface="+mn-lt"/>
              <a:ea typeface="+mn-ea"/>
              <a:cs typeface="+mn-cs"/>
            </a:rPr>
            <a:t>Pergunta de Negócio 5 - Qual o f</a:t>
          </a:r>
          <a:r>
            <a:rPr lang="pt-BR" sz="12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aturamento por categoria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561975</xdr:colOff>
      <xdr:row>7</xdr:row>
      <xdr:rowOff>47625</xdr:rowOff>
    </xdr:from>
    <xdr:to>
      <xdr:col>11</xdr:col>
      <xdr:colOff>571500</xdr:colOff>
      <xdr:row>24</xdr:row>
      <xdr:rowOff>0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C3F8B8EB-09C3-4939-B9BE-97907893B4E8}"/>
            </a:ext>
          </a:extLst>
        </xdr:cNvPr>
        <xdr:cNvGrpSpPr/>
      </xdr:nvGrpSpPr>
      <xdr:grpSpPr>
        <a:xfrm>
          <a:off x="2619375" y="1504950"/>
          <a:ext cx="5495925" cy="3190875"/>
          <a:chOff x="3038475" y="1765080"/>
          <a:chExt cx="5495925" cy="3378420"/>
        </a:xfrm>
        <a:solidFill>
          <a:schemeClr val="bg1"/>
        </a:solidFill>
      </xdr:grpSpPr>
      <xdr:sp macro="" textlink="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686AE045-7564-4B9E-8FDA-62B8F9D406C2}"/>
              </a:ext>
            </a:extLst>
          </xdr:cNvPr>
          <xdr:cNvSpPr/>
        </xdr:nvSpPr>
        <xdr:spPr>
          <a:xfrm>
            <a:off x="3038475" y="1765080"/>
            <a:ext cx="5495925" cy="3378420"/>
          </a:xfrm>
          <a:prstGeom prst="roundRect">
            <a:avLst>
              <a:gd name="adj" fmla="val 4727"/>
            </a:avLst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1BFB2461-56CF-4241-AD8F-797B1BB0B79D}"/>
              </a:ext>
            </a:extLst>
          </xdr:cNvPr>
          <xdr:cNvGraphicFramePr>
            <a:graphicFrameLocks/>
          </xdr:cNvGraphicFramePr>
        </xdr:nvGraphicFramePr>
        <xdr:xfrm>
          <a:off x="3429000" y="1894354"/>
          <a:ext cx="4962526" cy="304800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0</xdr:colOff>
      <xdr:row>20</xdr:row>
      <xdr:rowOff>161925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21929E46-B8E6-421B-A5B0-CF1C966EF21B}"/>
            </a:ext>
          </a:extLst>
        </xdr:cNvPr>
        <xdr:cNvGrpSpPr/>
      </xdr:nvGrpSpPr>
      <xdr:grpSpPr>
        <a:xfrm>
          <a:off x="0" y="0"/>
          <a:ext cx="2057400" cy="4095750"/>
          <a:chOff x="0" y="0"/>
          <a:chExt cx="2057400" cy="4095750"/>
        </a:xfrm>
      </xdr:grpSpPr>
      <xdr:pic>
        <xdr:nvPicPr>
          <xdr:cNvPr id="4" name="Imagem 3">
            <a:extLst>
              <a:ext uri="{FF2B5EF4-FFF2-40B4-BE49-F238E27FC236}">
                <a16:creationId xmlns:a16="http://schemas.microsoft.com/office/drawing/2014/main" id="{C0BE0075-FE04-4C18-90FE-38207C2A856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1568" t="11014" r="8510" b="48304"/>
          <a:stretch/>
        </xdr:blipFill>
        <xdr:spPr>
          <a:xfrm>
            <a:off x="0" y="0"/>
            <a:ext cx="2057400" cy="1582343"/>
          </a:xfrm>
          <a:prstGeom prst="rect">
            <a:avLst/>
          </a:prstGeom>
        </xdr:spPr>
      </xdr:pic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3" name="Região 1">
                <a:extLst>
                  <a:ext uri="{FF2B5EF4-FFF2-40B4-BE49-F238E27FC236}">
                    <a16:creationId xmlns:a16="http://schemas.microsoft.com/office/drawing/2014/main" id="{87E479E9-D738-4EC0-B659-60AB8E938849}"/>
                  </a:ext>
                </a:extLst>
              </xdr:cNvPr>
              <xdr:cNvGraphicFramePr/>
            </xdr:nvGraphicFramePr>
            <xdr:xfrm>
              <a:off x="0" y="1571625"/>
              <a:ext cx="2057400" cy="2524125"/>
            </xdr:xfrm>
            <a:graphic>
              <a:graphicData uri="http://schemas.microsoft.com/office/drawing/2010/slicer">
                <sle:slicer xmlns:sle="http://schemas.microsoft.com/office/drawing/2010/slicer" name="Região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0" y="1571625"/>
                <a:ext cx="2057400" cy="252412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</xdr:grpSp>
    <xdr:clientData/>
  </xdr:twoCellAnchor>
  <xdr:twoCellAnchor>
    <xdr:from>
      <xdr:col>14</xdr:col>
      <xdr:colOff>133350</xdr:colOff>
      <xdr:row>7</xdr:row>
      <xdr:rowOff>38100</xdr:rowOff>
    </xdr:from>
    <xdr:to>
      <xdr:col>23</xdr:col>
      <xdr:colOff>142875</xdr:colOff>
      <xdr:row>23</xdr:row>
      <xdr:rowOff>180975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2D089D10-82BC-4854-9874-90024526C17A}"/>
            </a:ext>
          </a:extLst>
        </xdr:cNvPr>
        <xdr:cNvGrpSpPr/>
      </xdr:nvGrpSpPr>
      <xdr:grpSpPr>
        <a:xfrm>
          <a:off x="9505950" y="1495425"/>
          <a:ext cx="5495925" cy="3190875"/>
          <a:chOff x="9505950" y="1552575"/>
          <a:chExt cx="5495925" cy="3190875"/>
        </a:xfrm>
      </xdr:grpSpPr>
      <xdr:sp macro="" textlink="">
        <xdr:nvSpPr>
          <xdr:cNvPr id="17" name="Retângulo: Cantos Arredondados 16">
            <a:extLst>
              <a:ext uri="{FF2B5EF4-FFF2-40B4-BE49-F238E27FC236}">
                <a16:creationId xmlns:a16="http://schemas.microsoft.com/office/drawing/2014/main" id="{A13B1CFD-D6F5-4A79-AE24-C0ABC748D226}"/>
              </a:ext>
            </a:extLst>
          </xdr:cNvPr>
          <xdr:cNvSpPr/>
        </xdr:nvSpPr>
        <xdr:spPr>
          <a:xfrm>
            <a:off x="9505950" y="1552575"/>
            <a:ext cx="5495925" cy="3190875"/>
          </a:xfrm>
          <a:prstGeom prst="roundRect">
            <a:avLst>
              <a:gd name="adj" fmla="val 4727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15" name="Gráfico 14">
            <a:extLst>
              <a:ext uri="{FF2B5EF4-FFF2-40B4-BE49-F238E27FC236}">
                <a16:creationId xmlns:a16="http://schemas.microsoft.com/office/drawing/2014/main" id="{DAB68D30-D031-4E32-8F34-1AD292B7691B}"/>
              </a:ext>
            </a:extLst>
          </xdr:cNvPr>
          <xdr:cNvGraphicFramePr>
            <a:graphicFrameLocks/>
          </xdr:cNvGraphicFramePr>
        </xdr:nvGraphicFramePr>
        <xdr:xfrm>
          <a:off x="9963150" y="1800224"/>
          <a:ext cx="4229100" cy="273367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14</xdr:col>
      <xdr:colOff>133350</xdr:colOff>
      <xdr:row>28</xdr:row>
      <xdr:rowOff>85725</xdr:rowOff>
    </xdr:from>
    <xdr:to>
      <xdr:col>23</xdr:col>
      <xdr:colOff>142875</xdr:colOff>
      <xdr:row>45</xdr:row>
      <xdr:rowOff>38100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7984E3ED-1A15-42C9-B78D-7169735B046C}"/>
            </a:ext>
          </a:extLst>
        </xdr:cNvPr>
        <xdr:cNvGrpSpPr/>
      </xdr:nvGrpSpPr>
      <xdr:grpSpPr>
        <a:xfrm>
          <a:off x="9505950" y="5543550"/>
          <a:ext cx="5495925" cy="3190875"/>
          <a:chOff x="2619375" y="5657850"/>
          <a:chExt cx="5495925" cy="3190875"/>
        </a:xfrm>
      </xdr:grpSpPr>
      <xdr:sp macro="" textlink="">
        <xdr:nvSpPr>
          <xdr:cNvPr id="22" name="Retângulo: Cantos Arredondados 21">
            <a:extLst>
              <a:ext uri="{FF2B5EF4-FFF2-40B4-BE49-F238E27FC236}">
                <a16:creationId xmlns:a16="http://schemas.microsoft.com/office/drawing/2014/main" id="{A0CF7F4D-EA5B-420B-95C3-9128D655B0A9}"/>
              </a:ext>
            </a:extLst>
          </xdr:cNvPr>
          <xdr:cNvSpPr/>
        </xdr:nvSpPr>
        <xdr:spPr>
          <a:xfrm>
            <a:off x="2619375" y="5657850"/>
            <a:ext cx="5495925" cy="3190875"/>
          </a:xfrm>
          <a:prstGeom prst="roundRect">
            <a:avLst>
              <a:gd name="adj" fmla="val 4727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20" name="Gráfico 19">
            <a:extLst>
              <a:ext uri="{FF2B5EF4-FFF2-40B4-BE49-F238E27FC236}">
                <a16:creationId xmlns:a16="http://schemas.microsoft.com/office/drawing/2014/main" id="{9E1FCF08-ABFF-4474-B2F7-62570CA10320}"/>
              </a:ext>
            </a:extLst>
          </xdr:cNvPr>
          <xdr:cNvGraphicFramePr>
            <a:graphicFrameLocks/>
          </xdr:cNvGraphicFramePr>
        </xdr:nvGraphicFramePr>
        <xdr:xfrm>
          <a:off x="2981325" y="5924550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 editAs="oneCell">
    <xdr:from>
      <xdr:col>0</xdr:col>
      <xdr:colOff>1</xdr:colOff>
      <xdr:row>20</xdr:row>
      <xdr:rowOff>161925</xdr:rowOff>
    </xdr:from>
    <xdr:to>
      <xdr:col>2</xdr:col>
      <xdr:colOff>1</xdr:colOff>
      <xdr:row>35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6" name="Vendedor">
              <a:extLst>
                <a:ext uri="{FF2B5EF4-FFF2-40B4-BE49-F238E27FC236}">
                  <a16:creationId xmlns:a16="http://schemas.microsoft.com/office/drawing/2014/main" id="{0F3AAE26-886D-4C2E-BC33-C20707ABBFE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" y="4095750"/>
              <a:ext cx="2057400" cy="2847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561975</xdr:colOff>
      <xdr:row>28</xdr:row>
      <xdr:rowOff>85725</xdr:rowOff>
    </xdr:from>
    <xdr:to>
      <xdr:col>11</xdr:col>
      <xdr:colOff>571500</xdr:colOff>
      <xdr:row>45</xdr:row>
      <xdr:rowOff>38100</xdr:rowOff>
    </xdr:to>
    <xdr:sp macro="" textlink="">
      <xdr:nvSpPr>
        <xdr:cNvPr id="28" name="Retângulo: Cantos Arredondados 27">
          <a:extLst>
            <a:ext uri="{FF2B5EF4-FFF2-40B4-BE49-F238E27FC236}">
              <a16:creationId xmlns:a16="http://schemas.microsoft.com/office/drawing/2014/main" id="{611A9482-8B64-4CB9-909E-6A5E1418AC01}"/>
            </a:ext>
          </a:extLst>
        </xdr:cNvPr>
        <xdr:cNvSpPr/>
      </xdr:nvSpPr>
      <xdr:spPr>
        <a:xfrm>
          <a:off x="2619375" y="5543550"/>
          <a:ext cx="5495925" cy="3190875"/>
        </a:xfrm>
        <a:prstGeom prst="roundRect">
          <a:avLst>
            <a:gd name="adj" fmla="val 4727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342900</xdr:colOff>
      <xdr:row>29</xdr:row>
      <xdr:rowOff>161925</xdr:rowOff>
    </xdr:from>
    <xdr:to>
      <xdr:col>11</xdr:col>
      <xdr:colOff>38100</xdr:colOff>
      <xdr:row>44</xdr:row>
      <xdr:rowOff>47625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51539FB9-2529-4636-92BA-B3407EA04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57150</xdr:colOff>
      <xdr:row>5</xdr:row>
      <xdr:rowOff>57150</xdr:rowOff>
    </xdr:from>
    <xdr:to>
      <xdr:col>13</xdr:col>
      <xdr:colOff>209550</xdr:colOff>
      <xdr:row>6</xdr:row>
      <xdr:rowOff>104775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0018ED70-9919-4576-AB9E-1880393860FB}"/>
            </a:ext>
          </a:extLst>
        </xdr:cNvPr>
        <xdr:cNvSpPr/>
      </xdr:nvSpPr>
      <xdr:spPr>
        <a:xfrm>
          <a:off x="2724150" y="1133475"/>
          <a:ext cx="6248400" cy="2381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accent1">
                  <a:lumMod val="50000"/>
                </a:schemeClr>
              </a:solidFill>
            </a:rPr>
            <a:t>Dados</a:t>
          </a:r>
          <a:r>
            <a:rPr lang="pt-BR" sz="1100" baseline="0">
              <a:solidFill>
                <a:schemeClr val="accent1">
                  <a:lumMod val="50000"/>
                </a:schemeClr>
              </a:solidFill>
            </a:rPr>
            <a:t> analisados do dia 01/01/2025 - 02/03/2025</a:t>
          </a:r>
        </a:p>
        <a:p>
          <a:pPr algn="l"/>
          <a:endParaRPr lang="pt-BR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" refreshedDate="46021.920876736112" createdVersion="6" refreshedVersion="6" minRefreshableVersion="3" recordCount="120" xr:uid="{23D5AEDF-7F46-4CF4-A518-496BEBCD6CCF}">
  <cacheSource type="worksheet">
    <worksheetSource ref="A1:H121" sheet="Bases"/>
  </cacheSource>
  <cacheFields count="8">
    <cacheField name="Data" numFmtId="0">
      <sharedItems count="50">
        <s v="2025-01-19"/>
        <s v="2025-02-04"/>
        <s v="2025-02-23"/>
        <s v="2025-02-19"/>
        <s v="2025-03-01"/>
        <s v="2025-01-17"/>
        <s v="2025-01-20"/>
        <s v="2025-01-11"/>
        <s v="2025-01-22"/>
        <s v="2025-01-01"/>
        <s v="2025-01-10"/>
        <s v="2025-01-04"/>
        <s v="2025-02-14"/>
        <s v="2025-02-20"/>
        <s v="2025-02-24"/>
        <s v="2025-02-05"/>
        <s v="2025-01-14"/>
        <s v="2025-03-02"/>
        <s v="2025-02-16"/>
        <s v="2025-02-10"/>
        <s v="2025-02-15"/>
        <s v="2025-01-03"/>
        <s v="2025-02-01"/>
        <s v="2025-01-09"/>
        <s v="2025-01-29"/>
        <s v="2025-01-07"/>
        <s v="2025-01-23"/>
        <s v="2025-02-12"/>
        <s v="2025-01-21"/>
        <s v="2025-02-11"/>
        <s v="2025-01-13"/>
        <s v="2025-02-06"/>
        <s v="2025-01-16"/>
        <s v="2025-01-15"/>
        <s v="2025-02-27"/>
        <s v="2025-02-28"/>
        <s v="2025-01-24"/>
        <s v="2025-02-17"/>
        <s v="2025-02-25"/>
        <s v="2025-01-02"/>
        <s v="2025-01-18"/>
        <s v="2025-02-07"/>
        <s v="2025-02-18"/>
        <s v="2025-02-03"/>
        <s v="2025-02-26"/>
        <s v="2025-02-02"/>
        <s v="2025-01-26"/>
        <s v="2025-01-25"/>
        <s v="2025-01-31"/>
        <s v="2025-02-13"/>
      </sharedItems>
    </cacheField>
    <cacheField name="Região" numFmtId="0">
      <sharedItems count="5">
        <s v="Centro-Oeste"/>
        <s v="Nordeste"/>
        <s v="Norte"/>
        <s v="Sul"/>
        <s v="Sudeste"/>
      </sharedItems>
    </cacheField>
    <cacheField name="Vendedor" numFmtId="0">
      <sharedItems count="6">
        <s v="Eduardo"/>
        <s v="Fernanda"/>
        <s v="Ana"/>
        <s v="Carlos"/>
        <s v="Daniela"/>
        <s v="Bruno"/>
      </sharedItems>
    </cacheField>
    <cacheField name="Produto" numFmtId="0">
      <sharedItems count="5">
        <s v="Teclado"/>
        <s v="Mouse"/>
        <s v="Headset"/>
        <s v="Notebook"/>
        <s v="Monitor"/>
      </sharedItems>
    </cacheField>
    <cacheField name="Categoria" numFmtId="0">
      <sharedItems count="2">
        <s v="Acessórios"/>
        <s v="Eletrônicos"/>
      </sharedItems>
    </cacheField>
    <cacheField name="Quantidade" numFmtId="0">
      <sharedItems containsSemiMixedTypes="0" containsString="0" containsNumber="1" containsInteger="1" minValue="1" maxValue="10" count="10">
        <n v="5"/>
        <n v="10"/>
        <n v="2"/>
        <n v="6"/>
        <n v="1"/>
        <n v="7"/>
        <n v="4"/>
        <n v="8"/>
        <n v="9"/>
        <n v="3"/>
      </sharedItems>
    </cacheField>
    <cacheField name="Preço Unitário" numFmtId="0">
      <sharedItems containsSemiMixedTypes="0" containsString="0" containsNumber="1" containsInteger="1" minValue="80" maxValue="3500"/>
    </cacheField>
    <cacheField name="Valor Total" numFmtId="0">
      <sharedItems containsSemiMixedTypes="0" containsString="0" containsNumber="1" containsInteger="1" minValue="150" maxValue="35000" count="39">
        <n v="750"/>
        <n v="800"/>
        <n v="600"/>
        <n v="900"/>
        <n v="300"/>
        <n v="24500"/>
        <n v="8400"/>
        <n v="1200"/>
        <n v="1800"/>
        <n v="7000"/>
        <n v="480"/>
        <n v="2400"/>
        <n v="7200"/>
        <n v="1350"/>
        <n v="640"/>
        <n v="10500"/>
        <n v="1050"/>
        <n v="4800"/>
        <n v="560"/>
        <n v="720"/>
        <n v="21000"/>
        <n v="1500"/>
        <n v="160"/>
        <n v="3600"/>
        <n v="31500"/>
        <n v="6000"/>
        <n v="450"/>
        <n v="240"/>
        <n v="150"/>
        <n v="17500"/>
        <n v="10800"/>
        <n v="3500"/>
        <n v="12000"/>
        <n v="14000"/>
        <n v="320"/>
        <n v="35000"/>
        <n v="28000"/>
        <n v="3000"/>
        <n v="9600"/>
      </sharedItems>
    </cacheField>
  </cacheFields>
  <extLst>
    <ext xmlns:x14="http://schemas.microsoft.com/office/spreadsheetml/2009/9/main" uri="{725AE2AE-9491-48be-B2B4-4EB974FC3084}">
      <x14:pivotCacheDefinition pivotCacheId="148830127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x v="0"/>
    <x v="0"/>
    <x v="0"/>
    <x v="0"/>
    <x v="0"/>
    <x v="0"/>
    <n v="150"/>
    <x v="0"/>
  </r>
  <r>
    <x v="1"/>
    <x v="1"/>
    <x v="1"/>
    <x v="1"/>
    <x v="0"/>
    <x v="1"/>
    <n v="80"/>
    <x v="1"/>
  </r>
  <r>
    <x v="2"/>
    <x v="0"/>
    <x v="2"/>
    <x v="2"/>
    <x v="0"/>
    <x v="2"/>
    <n v="300"/>
    <x v="2"/>
  </r>
  <r>
    <x v="3"/>
    <x v="0"/>
    <x v="3"/>
    <x v="2"/>
    <x v="0"/>
    <x v="2"/>
    <n v="300"/>
    <x v="2"/>
  </r>
  <r>
    <x v="4"/>
    <x v="0"/>
    <x v="2"/>
    <x v="0"/>
    <x v="0"/>
    <x v="3"/>
    <n v="150"/>
    <x v="3"/>
  </r>
  <r>
    <x v="5"/>
    <x v="2"/>
    <x v="1"/>
    <x v="2"/>
    <x v="0"/>
    <x v="4"/>
    <n v="300"/>
    <x v="4"/>
  </r>
  <r>
    <x v="6"/>
    <x v="2"/>
    <x v="3"/>
    <x v="0"/>
    <x v="0"/>
    <x v="0"/>
    <n v="150"/>
    <x v="0"/>
  </r>
  <r>
    <x v="7"/>
    <x v="1"/>
    <x v="4"/>
    <x v="3"/>
    <x v="1"/>
    <x v="5"/>
    <n v="3500"/>
    <x v="5"/>
  </r>
  <r>
    <x v="8"/>
    <x v="2"/>
    <x v="3"/>
    <x v="4"/>
    <x v="1"/>
    <x v="5"/>
    <n v="1200"/>
    <x v="6"/>
  </r>
  <r>
    <x v="3"/>
    <x v="0"/>
    <x v="3"/>
    <x v="1"/>
    <x v="0"/>
    <x v="1"/>
    <n v="80"/>
    <x v="1"/>
  </r>
  <r>
    <x v="9"/>
    <x v="0"/>
    <x v="4"/>
    <x v="0"/>
    <x v="0"/>
    <x v="6"/>
    <n v="150"/>
    <x v="2"/>
  </r>
  <r>
    <x v="10"/>
    <x v="2"/>
    <x v="4"/>
    <x v="2"/>
    <x v="0"/>
    <x v="6"/>
    <n v="300"/>
    <x v="7"/>
  </r>
  <r>
    <x v="11"/>
    <x v="2"/>
    <x v="3"/>
    <x v="1"/>
    <x v="0"/>
    <x v="1"/>
    <n v="80"/>
    <x v="1"/>
  </r>
  <r>
    <x v="12"/>
    <x v="2"/>
    <x v="0"/>
    <x v="0"/>
    <x v="0"/>
    <x v="0"/>
    <n v="150"/>
    <x v="0"/>
  </r>
  <r>
    <x v="13"/>
    <x v="3"/>
    <x v="2"/>
    <x v="2"/>
    <x v="0"/>
    <x v="3"/>
    <n v="300"/>
    <x v="8"/>
  </r>
  <r>
    <x v="14"/>
    <x v="2"/>
    <x v="0"/>
    <x v="3"/>
    <x v="1"/>
    <x v="2"/>
    <n v="3500"/>
    <x v="9"/>
  </r>
  <r>
    <x v="5"/>
    <x v="2"/>
    <x v="2"/>
    <x v="1"/>
    <x v="0"/>
    <x v="3"/>
    <n v="80"/>
    <x v="10"/>
  </r>
  <r>
    <x v="15"/>
    <x v="1"/>
    <x v="0"/>
    <x v="2"/>
    <x v="0"/>
    <x v="3"/>
    <n v="300"/>
    <x v="8"/>
  </r>
  <r>
    <x v="16"/>
    <x v="4"/>
    <x v="2"/>
    <x v="1"/>
    <x v="0"/>
    <x v="1"/>
    <n v="80"/>
    <x v="1"/>
  </r>
  <r>
    <x v="17"/>
    <x v="2"/>
    <x v="2"/>
    <x v="2"/>
    <x v="0"/>
    <x v="7"/>
    <n v="300"/>
    <x v="11"/>
  </r>
  <r>
    <x v="1"/>
    <x v="0"/>
    <x v="2"/>
    <x v="4"/>
    <x v="1"/>
    <x v="3"/>
    <n v="1200"/>
    <x v="12"/>
  </r>
  <r>
    <x v="10"/>
    <x v="1"/>
    <x v="3"/>
    <x v="0"/>
    <x v="0"/>
    <x v="8"/>
    <n v="150"/>
    <x v="13"/>
  </r>
  <r>
    <x v="6"/>
    <x v="1"/>
    <x v="0"/>
    <x v="1"/>
    <x v="0"/>
    <x v="7"/>
    <n v="80"/>
    <x v="14"/>
  </r>
  <r>
    <x v="0"/>
    <x v="2"/>
    <x v="5"/>
    <x v="3"/>
    <x v="1"/>
    <x v="9"/>
    <n v="3500"/>
    <x v="15"/>
  </r>
  <r>
    <x v="18"/>
    <x v="0"/>
    <x v="1"/>
    <x v="0"/>
    <x v="0"/>
    <x v="5"/>
    <n v="150"/>
    <x v="16"/>
  </r>
  <r>
    <x v="19"/>
    <x v="4"/>
    <x v="5"/>
    <x v="0"/>
    <x v="0"/>
    <x v="6"/>
    <n v="150"/>
    <x v="2"/>
  </r>
  <r>
    <x v="20"/>
    <x v="1"/>
    <x v="2"/>
    <x v="4"/>
    <x v="1"/>
    <x v="6"/>
    <n v="1200"/>
    <x v="17"/>
  </r>
  <r>
    <x v="17"/>
    <x v="1"/>
    <x v="2"/>
    <x v="1"/>
    <x v="0"/>
    <x v="5"/>
    <n v="80"/>
    <x v="18"/>
  </r>
  <r>
    <x v="5"/>
    <x v="3"/>
    <x v="3"/>
    <x v="1"/>
    <x v="0"/>
    <x v="8"/>
    <n v="80"/>
    <x v="19"/>
  </r>
  <r>
    <x v="21"/>
    <x v="4"/>
    <x v="1"/>
    <x v="1"/>
    <x v="0"/>
    <x v="1"/>
    <n v="80"/>
    <x v="1"/>
  </r>
  <r>
    <x v="22"/>
    <x v="4"/>
    <x v="3"/>
    <x v="3"/>
    <x v="1"/>
    <x v="3"/>
    <n v="3500"/>
    <x v="20"/>
  </r>
  <r>
    <x v="23"/>
    <x v="1"/>
    <x v="1"/>
    <x v="2"/>
    <x v="0"/>
    <x v="7"/>
    <n v="300"/>
    <x v="11"/>
  </r>
  <r>
    <x v="21"/>
    <x v="0"/>
    <x v="0"/>
    <x v="2"/>
    <x v="0"/>
    <x v="0"/>
    <n v="300"/>
    <x v="21"/>
  </r>
  <r>
    <x v="10"/>
    <x v="2"/>
    <x v="0"/>
    <x v="1"/>
    <x v="0"/>
    <x v="2"/>
    <n v="80"/>
    <x v="22"/>
  </r>
  <r>
    <x v="24"/>
    <x v="1"/>
    <x v="0"/>
    <x v="4"/>
    <x v="1"/>
    <x v="9"/>
    <n v="1200"/>
    <x v="23"/>
  </r>
  <r>
    <x v="25"/>
    <x v="2"/>
    <x v="0"/>
    <x v="3"/>
    <x v="1"/>
    <x v="9"/>
    <n v="3500"/>
    <x v="15"/>
  </r>
  <r>
    <x v="11"/>
    <x v="3"/>
    <x v="1"/>
    <x v="3"/>
    <x v="1"/>
    <x v="8"/>
    <n v="3500"/>
    <x v="24"/>
  </r>
  <r>
    <x v="25"/>
    <x v="4"/>
    <x v="4"/>
    <x v="4"/>
    <x v="1"/>
    <x v="0"/>
    <n v="1200"/>
    <x v="25"/>
  </r>
  <r>
    <x v="26"/>
    <x v="4"/>
    <x v="5"/>
    <x v="0"/>
    <x v="0"/>
    <x v="9"/>
    <n v="150"/>
    <x v="26"/>
  </r>
  <r>
    <x v="1"/>
    <x v="2"/>
    <x v="5"/>
    <x v="1"/>
    <x v="0"/>
    <x v="2"/>
    <n v="80"/>
    <x v="22"/>
  </r>
  <r>
    <x v="0"/>
    <x v="0"/>
    <x v="4"/>
    <x v="0"/>
    <x v="0"/>
    <x v="9"/>
    <n v="150"/>
    <x v="26"/>
  </r>
  <r>
    <x v="27"/>
    <x v="4"/>
    <x v="0"/>
    <x v="0"/>
    <x v="0"/>
    <x v="2"/>
    <n v="150"/>
    <x v="4"/>
  </r>
  <r>
    <x v="28"/>
    <x v="4"/>
    <x v="5"/>
    <x v="2"/>
    <x v="0"/>
    <x v="9"/>
    <n v="300"/>
    <x v="3"/>
  </r>
  <r>
    <x v="29"/>
    <x v="1"/>
    <x v="1"/>
    <x v="1"/>
    <x v="0"/>
    <x v="2"/>
    <n v="80"/>
    <x v="22"/>
  </r>
  <r>
    <x v="22"/>
    <x v="3"/>
    <x v="5"/>
    <x v="2"/>
    <x v="0"/>
    <x v="2"/>
    <n v="300"/>
    <x v="2"/>
  </r>
  <r>
    <x v="12"/>
    <x v="2"/>
    <x v="4"/>
    <x v="1"/>
    <x v="0"/>
    <x v="9"/>
    <n v="80"/>
    <x v="27"/>
  </r>
  <r>
    <x v="5"/>
    <x v="1"/>
    <x v="5"/>
    <x v="4"/>
    <x v="1"/>
    <x v="0"/>
    <n v="1200"/>
    <x v="25"/>
  </r>
  <r>
    <x v="1"/>
    <x v="0"/>
    <x v="0"/>
    <x v="0"/>
    <x v="0"/>
    <x v="4"/>
    <n v="150"/>
    <x v="28"/>
  </r>
  <r>
    <x v="23"/>
    <x v="2"/>
    <x v="3"/>
    <x v="2"/>
    <x v="0"/>
    <x v="6"/>
    <n v="300"/>
    <x v="7"/>
  </r>
  <r>
    <x v="11"/>
    <x v="2"/>
    <x v="1"/>
    <x v="4"/>
    <x v="1"/>
    <x v="5"/>
    <n v="1200"/>
    <x v="6"/>
  </r>
  <r>
    <x v="21"/>
    <x v="0"/>
    <x v="0"/>
    <x v="3"/>
    <x v="1"/>
    <x v="8"/>
    <n v="3500"/>
    <x v="24"/>
  </r>
  <r>
    <x v="30"/>
    <x v="1"/>
    <x v="4"/>
    <x v="0"/>
    <x v="0"/>
    <x v="8"/>
    <n v="150"/>
    <x v="13"/>
  </r>
  <r>
    <x v="26"/>
    <x v="4"/>
    <x v="3"/>
    <x v="0"/>
    <x v="0"/>
    <x v="2"/>
    <n v="150"/>
    <x v="4"/>
  </r>
  <r>
    <x v="31"/>
    <x v="2"/>
    <x v="1"/>
    <x v="4"/>
    <x v="1"/>
    <x v="3"/>
    <n v="1200"/>
    <x v="12"/>
  </r>
  <r>
    <x v="32"/>
    <x v="3"/>
    <x v="5"/>
    <x v="2"/>
    <x v="0"/>
    <x v="4"/>
    <n v="300"/>
    <x v="4"/>
  </r>
  <r>
    <x v="12"/>
    <x v="4"/>
    <x v="5"/>
    <x v="1"/>
    <x v="0"/>
    <x v="1"/>
    <n v="80"/>
    <x v="1"/>
  </r>
  <r>
    <x v="31"/>
    <x v="2"/>
    <x v="0"/>
    <x v="3"/>
    <x v="1"/>
    <x v="5"/>
    <n v="3500"/>
    <x v="5"/>
  </r>
  <r>
    <x v="33"/>
    <x v="4"/>
    <x v="1"/>
    <x v="1"/>
    <x v="0"/>
    <x v="2"/>
    <n v="80"/>
    <x v="22"/>
  </r>
  <r>
    <x v="10"/>
    <x v="3"/>
    <x v="2"/>
    <x v="4"/>
    <x v="1"/>
    <x v="9"/>
    <n v="1200"/>
    <x v="23"/>
  </r>
  <r>
    <x v="33"/>
    <x v="2"/>
    <x v="0"/>
    <x v="3"/>
    <x v="1"/>
    <x v="0"/>
    <n v="3500"/>
    <x v="29"/>
  </r>
  <r>
    <x v="34"/>
    <x v="2"/>
    <x v="1"/>
    <x v="2"/>
    <x v="0"/>
    <x v="3"/>
    <n v="300"/>
    <x v="8"/>
  </r>
  <r>
    <x v="19"/>
    <x v="0"/>
    <x v="4"/>
    <x v="0"/>
    <x v="0"/>
    <x v="6"/>
    <n v="150"/>
    <x v="2"/>
  </r>
  <r>
    <x v="8"/>
    <x v="3"/>
    <x v="0"/>
    <x v="4"/>
    <x v="1"/>
    <x v="5"/>
    <n v="1200"/>
    <x v="6"/>
  </r>
  <r>
    <x v="30"/>
    <x v="1"/>
    <x v="2"/>
    <x v="4"/>
    <x v="1"/>
    <x v="0"/>
    <n v="1200"/>
    <x v="25"/>
  </r>
  <r>
    <x v="35"/>
    <x v="4"/>
    <x v="3"/>
    <x v="0"/>
    <x v="0"/>
    <x v="6"/>
    <n v="150"/>
    <x v="2"/>
  </r>
  <r>
    <x v="10"/>
    <x v="1"/>
    <x v="4"/>
    <x v="2"/>
    <x v="0"/>
    <x v="3"/>
    <n v="300"/>
    <x v="8"/>
  </r>
  <r>
    <x v="3"/>
    <x v="4"/>
    <x v="1"/>
    <x v="1"/>
    <x v="0"/>
    <x v="5"/>
    <n v="80"/>
    <x v="18"/>
  </r>
  <r>
    <x v="29"/>
    <x v="0"/>
    <x v="4"/>
    <x v="3"/>
    <x v="1"/>
    <x v="3"/>
    <n v="3500"/>
    <x v="20"/>
  </r>
  <r>
    <x v="25"/>
    <x v="3"/>
    <x v="3"/>
    <x v="0"/>
    <x v="0"/>
    <x v="0"/>
    <n v="150"/>
    <x v="0"/>
  </r>
  <r>
    <x v="36"/>
    <x v="1"/>
    <x v="2"/>
    <x v="0"/>
    <x v="0"/>
    <x v="2"/>
    <n v="150"/>
    <x v="4"/>
  </r>
  <r>
    <x v="33"/>
    <x v="3"/>
    <x v="1"/>
    <x v="1"/>
    <x v="0"/>
    <x v="5"/>
    <n v="80"/>
    <x v="18"/>
  </r>
  <r>
    <x v="3"/>
    <x v="4"/>
    <x v="2"/>
    <x v="1"/>
    <x v="0"/>
    <x v="7"/>
    <n v="80"/>
    <x v="14"/>
  </r>
  <r>
    <x v="21"/>
    <x v="1"/>
    <x v="5"/>
    <x v="2"/>
    <x v="0"/>
    <x v="6"/>
    <n v="300"/>
    <x v="7"/>
  </r>
  <r>
    <x v="37"/>
    <x v="1"/>
    <x v="1"/>
    <x v="4"/>
    <x v="1"/>
    <x v="9"/>
    <n v="1200"/>
    <x v="23"/>
  </r>
  <r>
    <x v="32"/>
    <x v="0"/>
    <x v="4"/>
    <x v="0"/>
    <x v="0"/>
    <x v="8"/>
    <n v="150"/>
    <x v="13"/>
  </r>
  <r>
    <x v="11"/>
    <x v="1"/>
    <x v="4"/>
    <x v="2"/>
    <x v="0"/>
    <x v="4"/>
    <n v="300"/>
    <x v="4"/>
  </r>
  <r>
    <x v="38"/>
    <x v="1"/>
    <x v="0"/>
    <x v="0"/>
    <x v="0"/>
    <x v="9"/>
    <n v="150"/>
    <x v="26"/>
  </r>
  <r>
    <x v="3"/>
    <x v="1"/>
    <x v="5"/>
    <x v="3"/>
    <x v="1"/>
    <x v="0"/>
    <n v="3500"/>
    <x v="29"/>
  </r>
  <r>
    <x v="9"/>
    <x v="3"/>
    <x v="0"/>
    <x v="4"/>
    <x v="1"/>
    <x v="8"/>
    <n v="1200"/>
    <x v="30"/>
  </r>
  <r>
    <x v="36"/>
    <x v="4"/>
    <x v="5"/>
    <x v="0"/>
    <x v="0"/>
    <x v="2"/>
    <n v="150"/>
    <x v="4"/>
  </r>
  <r>
    <x v="28"/>
    <x v="0"/>
    <x v="3"/>
    <x v="1"/>
    <x v="0"/>
    <x v="7"/>
    <n v="80"/>
    <x v="14"/>
  </r>
  <r>
    <x v="39"/>
    <x v="4"/>
    <x v="1"/>
    <x v="1"/>
    <x v="0"/>
    <x v="1"/>
    <n v="80"/>
    <x v="1"/>
  </r>
  <r>
    <x v="31"/>
    <x v="2"/>
    <x v="5"/>
    <x v="3"/>
    <x v="1"/>
    <x v="4"/>
    <n v="3500"/>
    <x v="31"/>
  </r>
  <r>
    <x v="11"/>
    <x v="1"/>
    <x v="4"/>
    <x v="0"/>
    <x v="0"/>
    <x v="0"/>
    <n v="150"/>
    <x v="0"/>
  </r>
  <r>
    <x v="17"/>
    <x v="4"/>
    <x v="2"/>
    <x v="2"/>
    <x v="0"/>
    <x v="7"/>
    <n v="300"/>
    <x v="11"/>
  </r>
  <r>
    <x v="40"/>
    <x v="0"/>
    <x v="3"/>
    <x v="1"/>
    <x v="0"/>
    <x v="1"/>
    <n v="80"/>
    <x v="1"/>
  </r>
  <r>
    <x v="16"/>
    <x v="4"/>
    <x v="2"/>
    <x v="0"/>
    <x v="0"/>
    <x v="0"/>
    <n v="150"/>
    <x v="0"/>
  </r>
  <r>
    <x v="41"/>
    <x v="0"/>
    <x v="2"/>
    <x v="2"/>
    <x v="0"/>
    <x v="6"/>
    <n v="300"/>
    <x v="7"/>
  </r>
  <r>
    <x v="42"/>
    <x v="3"/>
    <x v="1"/>
    <x v="0"/>
    <x v="0"/>
    <x v="4"/>
    <n v="150"/>
    <x v="28"/>
  </r>
  <r>
    <x v="37"/>
    <x v="3"/>
    <x v="4"/>
    <x v="1"/>
    <x v="0"/>
    <x v="7"/>
    <n v="80"/>
    <x v="14"/>
  </r>
  <r>
    <x v="34"/>
    <x v="1"/>
    <x v="3"/>
    <x v="4"/>
    <x v="1"/>
    <x v="5"/>
    <n v="1200"/>
    <x v="6"/>
  </r>
  <r>
    <x v="35"/>
    <x v="4"/>
    <x v="3"/>
    <x v="0"/>
    <x v="0"/>
    <x v="8"/>
    <n v="150"/>
    <x v="13"/>
  </r>
  <r>
    <x v="38"/>
    <x v="2"/>
    <x v="4"/>
    <x v="4"/>
    <x v="1"/>
    <x v="1"/>
    <n v="1200"/>
    <x v="32"/>
  </r>
  <r>
    <x v="43"/>
    <x v="2"/>
    <x v="1"/>
    <x v="3"/>
    <x v="1"/>
    <x v="6"/>
    <n v="3500"/>
    <x v="33"/>
  </r>
  <r>
    <x v="26"/>
    <x v="4"/>
    <x v="2"/>
    <x v="3"/>
    <x v="1"/>
    <x v="4"/>
    <n v="3500"/>
    <x v="31"/>
  </r>
  <r>
    <x v="38"/>
    <x v="3"/>
    <x v="5"/>
    <x v="4"/>
    <x v="1"/>
    <x v="2"/>
    <n v="1200"/>
    <x v="11"/>
  </r>
  <r>
    <x v="6"/>
    <x v="0"/>
    <x v="2"/>
    <x v="0"/>
    <x v="0"/>
    <x v="4"/>
    <n v="150"/>
    <x v="28"/>
  </r>
  <r>
    <x v="31"/>
    <x v="4"/>
    <x v="0"/>
    <x v="1"/>
    <x v="0"/>
    <x v="8"/>
    <n v="80"/>
    <x v="19"/>
  </r>
  <r>
    <x v="20"/>
    <x v="1"/>
    <x v="5"/>
    <x v="1"/>
    <x v="0"/>
    <x v="6"/>
    <n v="80"/>
    <x v="34"/>
  </r>
  <r>
    <x v="26"/>
    <x v="0"/>
    <x v="1"/>
    <x v="3"/>
    <x v="1"/>
    <x v="1"/>
    <n v="3500"/>
    <x v="35"/>
  </r>
  <r>
    <x v="33"/>
    <x v="2"/>
    <x v="2"/>
    <x v="4"/>
    <x v="1"/>
    <x v="9"/>
    <n v="1200"/>
    <x v="23"/>
  </r>
  <r>
    <x v="7"/>
    <x v="1"/>
    <x v="3"/>
    <x v="0"/>
    <x v="0"/>
    <x v="0"/>
    <n v="150"/>
    <x v="0"/>
  </r>
  <r>
    <x v="40"/>
    <x v="2"/>
    <x v="2"/>
    <x v="1"/>
    <x v="0"/>
    <x v="7"/>
    <n v="80"/>
    <x v="14"/>
  </r>
  <r>
    <x v="14"/>
    <x v="1"/>
    <x v="5"/>
    <x v="3"/>
    <x v="1"/>
    <x v="0"/>
    <n v="3500"/>
    <x v="29"/>
  </r>
  <r>
    <x v="33"/>
    <x v="4"/>
    <x v="3"/>
    <x v="4"/>
    <x v="1"/>
    <x v="0"/>
    <n v="1200"/>
    <x v="25"/>
  </r>
  <r>
    <x v="44"/>
    <x v="2"/>
    <x v="1"/>
    <x v="4"/>
    <x v="1"/>
    <x v="0"/>
    <n v="1200"/>
    <x v="25"/>
  </r>
  <r>
    <x v="45"/>
    <x v="2"/>
    <x v="4"/>
    <x v="0"/>
    <x v="0"/>
    <x v="2"/>
    <n v="150"/>
    <x v="4"/>
  </r>
  <r>
    <x v="31"/>
    <x v="3"/>
    <x v="4"/>
    <x v="2"/>
    <x v="0"/>
    <x v="3"/>
    <n v="300"/>
    <x v="8"/>
  </r>
  <r>
    <x v="46"/>
    <x v="4"/>
    <x v="3"/>
    <x v="2"/>
    <x v="0"/>
    <x v="9"/>
    <n v="300"/>
    <x v="3"/>
  </r>
  <r>
    <x v="38"/>
    <x v="2"/>
    <x v="0"/>
    <x v="3"/>
    <x v="1"/>
    <x v="7"/>
    <n v="3500"/>
    <x v="36"/>
  </r>
  <r>
    <x v="42"/>
    <x v="1"/>
    <x v="4"/>
    <x v="2"/>
    <x v="0"/>
    <x v="1"/>
    <n v="300"/>
    <x v="37"/>
  </r>
  <r>
    <x v="14"/>
    <x v="4"/>
    <x v="5"/>
    <x v="3"/>
    <x v="1"/>
    <x v="8"/>
    <n v="3500"/>
    <x v="24"/>
  </r>
  <r>
    <x v="47"/>
    <x v="3"/>
    <x v="1"/>
    <x v="4"/>
    <x v="1"/>
    <x v="4"/>
    <n v="1200"/>
    <x v="7"/>
  </r>
  <r>
    <x v="20"/>
    <x v="0"/>
    <x v="2"/>
    <x v="0"/>
    <x v="0"/>
    <x v="9"/>
    <n v="150"/>
    <x v="26"/>
  </r>
  <r>
    <x v="48"/>
    <x v="1"/>
    <x v="0"/>
    <x v="2"/>
    <x v="0"/>
    <x v="6"/>
    <n v="300"/>
    <x v="7"/>
  </r>
  <r>
    <x v="15"/>
    <x v="3"/>
    <x v="3"/>
    <x v="4"/>
    <x v="1"/>
    <x v="7"/>
    <n v="1200"/>
    <x v="38"/>
  </r>
  <r>
    <x v="2"/>
    <x v="3"/>
    <x v="2"/>
    <x v="0"/>
    <x v="0"/>
    <x v="0"/>
    <n v="150"/>
    <x v="0"/>
  </r>
  <r>
    <x v="49"/>
    <x v="0"/>
    <x v="2"/>
    <x v="3"/>
    <x v="1"/>
    <x v="7"/>
    <n v="3500"/>
    <x v="36"/>
  </r>
  <r>
    <x v="19"/>
    <x v="2"/>
    <x v="3"/>
    <x v="3"/>
    <x v="1"/>
    <x v="7"/>
    <n v="3500"/>
    <x v="36"/>
  </r>
  <r>
    <x v="1"/>
    <x v="4"/>
    <x v="4"/>
    <x v="1"/>
    <x v="0"/>
    <x v="6"/>
    <n v="80"/>
    <x v="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D69F3D-49C5-446C-9C46-A0892E5422CD}" name="Tabela dinâmica9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0">
  <location ref="E14:F17" firstHeaderRow="1" firstDataRow="1" firstDataCol="1" rowPageCount="1" colPageCount="1"/>
  <pivotFields count="8">
    <pivotField showAll="0">
      <items count="51">
        <item x="9"/>
        <item x="39"/>
        <item x="21"/>
        <item x="11"/>
        <item x="25"/>
        <item x="23"/>
        <item x="10"/>
        <item x="7"/>
        <item x="30"/>
        <item x="16"/>
        <item x="33"/>
        <item x="32"/>
        <item x="5"/>
        <item x="40"/>
        <item x="0"/>
        <item x="6"/>
        <item x="28"/>
        <item x="8"/>
        <item x="26"/>
        <item x="36"/>
        <item x="47"/>
        <item x="46"/>
        <item x="24"/>
        <item x="48"/>
        <item x="22"/>
        <item x="45"/>
        <item x="43"/>
        <item x="1"/>
        <item x="15"/>
        <item x="31"/>
        <item x="41"/>
        <item x="19"/>
        <item x="29"/>
        <item x="27"/>
        <item x="49"/>
        <item x="12"/>
        <item x="20"/>
        <item x="18"/>
        <item x="37"/>
        <item x="42"/>
        <item x="3"/>
        <item x="13"/>
        <item x="2"/>
        <item x="14"/>
        <item x="38"/>
        <item x="44"/>
        <item x="34"/>
        <item x="35"/>
        <item x="4"/>
        <item x="17"/>
        <item t="default"/>
      </items>
    </pivotField>
    <pivotField axis="axisPage" multipleItemSelectionAllowed="1" showAll="0">
      <items count="6">
        <item h="1" x="0"/>
        <item h="1" x="1"/>
        <item x="2"/>
        <item h="1" x="4"/>
        <item h="1" x="3"/>
        <item t="default"/>
      </items>
    </pivotField>
    <pivotField showAll="0"/>
    <pivotField showAll="0">
      <items count="6">
        <item x="2"/>
        <item x="4"/>
        <item x="1"/>
        <item x="3"/>
        <item x="0"/>
        <item t="default"/>
      </items>
    </pivotField>
    <pivotField axis="axisRow" showAll="0">
      <items count="3">
        <item sd="0" x="0"/>
        <item sd="0" x="1"/>
        <item t="default"/>
      </items>
    </pivotField>
    <pivotField showAll="0"/>
    <pivotField showAll="0"/>
    <pivotField dataField="1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1" hier="-1"/>
  </pageFields>
  <dataFields count="1">
    <dataField name="Soma de Valor Total" fld="7" baseField="0" baseItem="0" numFmtId="164"/>
  </dataFields>
  <formats count="1">
    <format dxfId="3">
      <pivotArea outline="0" collapsedLevelsAreSubtotals="1" fieldPosition="0"/>
    </format>
  </formats>
  <chartFormats count="3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D62FFA-D59D-432D-9A05-86905DE3AECA}" name="Tabela dinâmica8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8">
  <location ref="E27:F33" firstHeaderRow="1" firstDataRow="1" firstDataCol="1" rowPageCount="1" colPageCount="1"/>
  <pivotFields count="8">
    <pivotField showAll="0">
      <items count="51">
        <item x="9"/>
        <item x="39"/>
        <item x="21"/>
        <item x="11"/>
        <item x="25"/>
        <item x="23"/>
        <item x="10"/>
        <item x="7"/>
        <item x="30"/>
        <item x="16"/>
        <item x="33"/>
        <item x="32"/>
        <item x="5"/>
        <item x="40"/>
        <item x="0"/>
        <item x="6"/>
        <item x="28"/>
        <item x="8"/>
        <item x="26"/>
        <item x="36"/>
        <item x="47"/>
        <item x="46"/>
        <item x="24"/>
        <item x="48"/>
        <item x="22"/>
        <item x="45"/>
        <item x="43"/>
        <item x="1"/>
        <item x="15"/>
        <item x="31"/>
        <item x="41"/>
        <item x="19"/>
        <item x="29"/>
        <item x="27"/>
        <item x="49"/>
        <item x="12"/>
        <item x="20"/>
        <item x="18"/>
        <item x="37"/>
        <item x="42"/>
        <item x="3"/>
        <item x="13"/>
        <item x="2"/>
        <item x="14"/>
        <item x="38"/>
        <item x="44"/>
        <item x="34"/>
        <item x="35"/>
        <item x="4"/>
        <item x="17"/>
        <item t="default"/>
      </items>
    </pivotField>
    <pivotField axis="axisPage" multipleItemSelectionAllowed="1" showAll="0">
      <items count="6">
        <item h="1" x="0"/>
        <item h="1" x="1"/>
        <item x="2"/>
        <item h="1" x="4"/>
        <item h="1" x="3"/>
        <item t="default"/>
      </items>
    </pivotField>
    <pivotField showAll="0"/>
    <pivotField axis="axisRow" showAll="0">
      <items count="6">
        <item x="2"/>
        <item x="4"/>
        <item x="1"/>
        <item x="3"/>
        <item x="0"/>
        <item t="default"/>
      </items>
    </pivotField>
    <pivotField showAll="0">
      <items count="3">
        <item sd="0" x="0"/>
        <item sd="0" x="1"/>
        <item t="default"/>
      </items>
    </pivotField>
    <pivotField dataField="1"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" hier="-1"/>
  </pageFields>
  <dataFields count="1">
    <dataField name="Contagem de Quantidade" fld="5" subtotal="count" baseField="4" baseItem="0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9DB0E5-7934-4E24-A0B0-5FA4BC7F510D}" name="Tabela dinâmica6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6">
  <location ref="H14:I20" firstHeaderRow="1" firstDataRow="1" firstDataCol="1" rowPageCount="1" colPageCount="1"/>
  <pivotFields count="8">
    <pivotField showAll="0">
      <items count="51">
        <item x="9"/>
        <item x="39"/>
        <item x="21"/>
        <item x="11"/>
        <item x="25"/>
        <item x="23"/>
        <item x="10"/>
        <item x="7"/>
        <item x="30"/>
        <item x="16"/>
        <item x="33"/>
        <item x="32"/>
        <item x="5"/>
        <item x="40"/>
        <item x="0"/>
        <item x="6"/>
        <item x="28"/>
        <item x="8"/>
        <item x="26"/>
        <item x="36"/>
        <item x="47"/>
        <item x="46"/>
        <item x="24"/>
        <item x="48"/>
        <item x="22"/>
        <item x="45"/>
        <item x="43"/>
        <item x="1"/>
        <item x="15"/>
        <item x="31"/>
        <item x="41"/>
        <item x="19"/>
        <item x="29"/>
        <item x="27"/>
        <item x="49"/>
        <item x="12"/>
        <item x="20"/>
        <item x="18"/>
        <item x="37"/>
        <item x="42"/>
        <item x="3"/>
        <item x="13"/>
        <item x="2"/>
        <item x="14"/>
        <item x="38"/>
        <item x="44"/>
        <item x="34"/>
        <item x="35"/>
        <item x="4"/>
        <item x="17"/>
        <item t="default"/>
      </items>
    </pivotField>
    <pivotField showAll="0">
      <items count="6">
        <item x="0"/>
        <item x="1"/>
        <item x="2"/>
        <item x="4"/>
        <item x="3"/>
        <item t="default"/>
      </items>
    </pivotField>
    <pivotField axis="axisPage" showAll="0">
      <items count="7">
        <item x="2"/>
        <item x="5"/>
        <item x="3"/>
        <item x="4"/>
        <item x="0"/>
        <item x="1"/>
        <item t="default"/>
      </items>
    </pivotField>
    <pivotField axis="axisRow" showAll="0">
      <items count="6">
        <item x="2"/>
        <item x="4"/>
        <item x="1"/>
        <item x="3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11">
        <item x="4"/>
        <item x="2"/>
        <item x="9"/>
        <item x="6"/>
        <item x="0"/>
        <item x="3"/>
        <item x="5"/>
        <item x="7"/>
        <item x="8"/>
        <item x="1"/>
        <item t="default"/>
      </items>
    </pivotField>
    <pivotField showAll="0"/>
    <pivotField dataField="1" showAll="0">
      <items count="40">
        <item x="28"/>
        <item x="22"/>
        <item x="27"/>
        <item x="4"/>
        <item x="34"/>
        <item x="26"/>
        <item x="10"/>
        <item x="18"/>
        <item x="2"/>
        <item x="14"/>
        <item x="19"/>
        <item x="0"/>
        <item x="1"/>
        <item x="3"/>
        <item x="16"/>
        <item x="7"/>
        <item x="13"/>
        <item x="21"/>
        <item x="8"/>
        <item x="11"/>
        <item x="37"/>
        <item x="31"/>
        <item x="23"/>
        <item x="17"/>
        <item x="25"/>
        <item x="9"/>
        <item x="12"/>
        <item x="6"/>
        <item x="38"/>
        <item x="15"/>
        <item x="30"/>
        <item x="32"/>
        <item x="33"/>
        <item x="29"/>
        <item x="20"/>
        <item x="5"/>
        <item x="36"/>
        <item x="24"/>
        <item x="35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item="2" hier="-1"/>
  </pageFields>
  <dataFields count="1">
    <dataField name="Soma de Valor Total" fld="7" baseField="0" baseItem="0" numFmtId="164"/>
  </dataFields>
  <formats count="1">
    <format dxfId="4">
      <pivotArea outline="0" collapsedLevelsAreSubtotals="1" fieldPosition="0"/>
    </format>
  </formats>
  <chartFormats count="10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F3464C-4922-4D07-8EAC-AEEB5B920FA9}" name="Tabela dinâmica4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9">
  <location ref="E5:F8" firstHeaderRow="1" firstDataRow="1" firstDataCol="1" rowPageCount="1" colPageCount="1"/>
  <pivotFields count="8">
    <pivotField showAll="0">
      <items count="51">
        <item x="9"/>
        <item x="39"/>
        <item x="21"/>
        <item x="11"/>
        <item x="25"/>
        <item x="23"/>
        <item x="10"/>
        <item x="7"/>
        <item x="30"/>
        <item x="16"/>
        <item x="33"/>
        <item x="32"/>
        <item x="5"/>
        <item x="40"/>
        <item x="0"/>
        <item x="6"/>
        <item x="28"/>
        <item x="8"/>
        <item x="26"/>
        <item x="36"/>
        <item x="47"/>
        <item x="46"/>
        <item x="24"/>
        <item x="48"/>
        <item x="22"/>
        <item x="45"/>
        <item x="43"/>
        <item x="1"/>
        <item x="15"/>
        <item x="31"/>
        <item x="41"/>
        <item x="19"/>
        <item x="29"/>
        <item x="27"/>
        <item x="49"/>
        <item x="12"/>
        <item x="20"/>
        <item x="18"/>
        <item x="37"/>
        <item x="42"/>
        <item x="3"/>
        <item x="13"/>
        <item x="2"/>
        <item x="14"/>
        <item x="38"/>
        <item x="44"/>
        <item x="34"/>
        <item x="35"/>
        <item x="4"/>
        <item x="17"/>
        <item t="default"/>
      </items>
    </pivotField>
    <pivotField axis="axisPage" multipleItemSelectionAllowed="1" showAll="0">
      <items count="6">
        <item h="1" x="0"/>
        <item h="1" x="1"/>
        <item x="2"/>
        <item h="1" x="4"/>
        <item h="1" x="3"/>
        <item t="default"/>
      </items>
    </pivotField>
    <pivotField showAll="0"/>
    <pivotField axis="axisRow" showAll="0">
      <items count="6">
        <item x="2"/>
        <item x="4"/>
        <item x="1"/>
        <item x="3"/>
        <item x="0"/>
        <item t="default"/>
      </items>
    </pivotField>
    <pivotField axis="axisRow" showAll="0">
      <items count="3">
        <item sd="0" x="0"/>
        <item sd="0" x="1"/>
        <item t="default"/>
      </items>
    </pivotField>
    <pivotField dataField="1" showAll="0"/>
    <pivotField showAll="0"/>
    <pivotField showAll="0"/>
  </pivotFields>
  <rowFields count="2">
    <field x="4"/>
    <field x="3"/>
  </rowFields>
  <rowItems count="3">
    <i>
      <x/>
    </i>
    <i>
      <x v="1"/>
    </i>
    <i t="grand">
      <x/>
    </i>
  </rowItems>
  <colItems count="1">
    <i/>
  </colItems>
  <pageFields count="1">
    <pageField fld="1" hier="-1"/>
  </pageFields>
  <dataFields count="1">
    <dataField name="Soma de Quantidade" fld="5" baseField="0" baseItem="0"/>
  </dataFields>
  <chartFormats count="6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8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gião" xr10:uid="{9966A478-5071-4230-9512-D0DF5EAD1548}" sourceName="Região">
  <pivotTables>
    <pivotTable tabId="3" name="Tabela dinâmica4"/>
    <pivotTable tabId="3" name="Tabela dinâmica8"/>
    <pivotTable tabId="3" name="Tabela dinâmica9"/>
  </pivotTables>
  <data>
    <tabular pivotCacheId="1488301275">
      <items count="5">
        <i x="0"/>
        <i x="1"/>
        <i x="2" s="1"/>
        <i x="4"/>
        <i x="3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Vendedor" xr10:uid="{F6CC4EED-E501-40C3-BDED-45E7BAA4176B}" sourceName="Vendedor">
  <pivotTables>
    <pivotTable tabId="3" name="Tabela dinâmica6"/>
  </pivotTables>
  <data>
    <tabular pivotCacheId="1488301275">
      <items count="6">
        <i x="2"/>
        <i x="5"/>
        <i x="3" s="1"/>
        <i x="4"/>
        <i x="0"/>
        <i x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ão 1" xr10:uid="{84CDB2C0-5960-487A-AA94-9CAD137F3681}" cache="SegmentaçãodeDados_Região" caption="Região" style="SlicerStyleLight6 2" rowHeight="241300"/>
  <slicer name="Vendedor" xr10:uid="{5983CF43-E93F-4B80-8A13-D2EF811A6000}" cache="SegmentaçãodeDados_Vendedor" caption="Vendedor" style="SlicerStyleLight6 2" rowHeight="2413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EDABA-DD18-416C-8925-0C23F2B796A4}">
  <dimension ref="A1"/>
  <sheetViews>
    <sheetView workbookViewId="0">
      <selection activeCell="L13" sqref="L13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1"/>
  <sheetViews>
    <sheetView showGridLines="0" workbookViewId="0">
      <selection activeCell="L116" sqref="L116"/>
    </sheetView>
  </sheetViews>
  <sheetFormatPr defaultRowHeight="15" x14ac:dyDescent="0.25"/>
  <cols>
    <col min="1" max="1" width="19.140625" customWidth="1"/>
    <col min="2" max="2" width="20.7109375" customWidth="1"/>
    <col min="3" max="3" width="16" customWidth="1"/>
    <col min="4" max="4" width="15.85546875" customWidth="1"/>
    <col min="5" max="5" width="14.28515625" customWidth="1"/>
    <col min="6" max="6" width="14.140625" customWidth="1"/>
    <col min="7" max="7" width="17.28515625" customWidth="1"/>
    <col min="8" max="8" width="16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</v>
      </c>
      <c r="G2">
        <v>150</v>
      </c>
      <c r="H2">
        <v>750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10</v>
      </c>
      <c r="G3">
        <v>80</v>
      </c>
      <c r="H3">
        <v>800</v>
      </c>
    </row>
    <row r="4" spans="1:8" x14ac:dyDescent="0.25">
      <c r="A4" t="s">
        <v>17</v>
      </c>
      <c r="B4" t="s">
        <v>9</v>
      </c>
      <c r="C4" t="s">
        <v>18</v>
      </c>
      <c r="D4" t="s">
        <v>19</v>
      </c>
      <c r="E4" t="s">
        <v>12</v>
      </c>
      <c r="F4">
        <v>2</v>
      </c>
      <c r="G4">
        <v>300</v>
      </c>
      <c r="H4">
        <v>600</v>
      </c>
    </row>
    <row r="5" spans="1:8" x14ac:dyDescent="0.25">
      <c r="A5" t="s">
        <v>20</v>
      </c>
      <c r="B5" t="s">
        <v>9</v>
      </c>
      <c r="C5" t="s">
        <v>21</v>
      </c>
      <c r="D5" t="s">
        <v>19</v>
      </c>
      <c r="E5" t="s">
        <v>12</v>
      </c>
      <c r="F5">
        <v>2</v>
      </c>
      <c r="G5">
        <v>300</v>
      </c>
      <c r="H5">
        <v>600</v>
      </c>
    </row>
    <row r="6" spans="1:8" x14ac:dyDescent="0.25">
      <c r="A6" t="s">
        <v>22</v>
      </c>
      <c r="B6" t="s">
        <v>9</v>
      </c>
      <c r="C6" t="s">
        <v>18</v>
      </c>
      <c r="D6" t="s">
        <v>11</v>
      </c>
      <c r="E6" t="s">
        <v>12</v>
      </c>
      <c r="F6">
        <v>6</v>
      </c>
      <c r="G6">
        <v>150</v>
      </c>
      <c r="H6">
        <v>900</v>
      </c>
    </row>
    <row r="7" spans="1:8" x14ac:dyDescent="0.25">
      <c r="A7" t="s">
        <v>23</v>
      </c>
      <c r="B7" t="s">
        <v>24</v>
      </c>
      <c r="C7" t="s">
        <v>15</v>
      </c>
      <c r="D7" t="s">
        <v>19</v>
      </c>
      <c r="E7" t="s">
        <v>12</v>
      </c>
      <c r="F7">
        <v>1</v>
      </c>
      <c r="G7">
        <v>300</v>
      </c>
      <c r="H7">
        <v>300</v>
      </c>
    </row>
    <row r="8" spans="1:8" x14ac:dyDescent="0.25">
      <c r="A8" t="s">
        <v>25</v>
      </c>
      <c r="B8" t="s">
        <v>24</v>
      </c>
      <c r="C8" t="s">
        <v>21</v>
      </c>
      <c r="D8" t="s">
        <v>11</v>
      </c>
      <c r="E8" t="s">
        <v>12</v>
      </c>
      <c r="F8">
        <v>5</v>
      </c>
      <c r="G8">
        <v>150</v>
      </c>
      <c r="H8">
        <v>750</v>
      </c>
    </row>
    <row r="9" spans="1:8" x14ac:dyDescent="0.25">
      <c r="A9" t="s">
        <v>26</v>
      </c>
      <c r="B9" t="s">
        <v>14</v>
      </c>
      <c r="C9" t="s">
        <v>27</v>
      </c>
      <c r="D9" t="s">
        <v>28</v>
      </c>
      <c r="E9" t="s">
        <v>29</v>
      </c>
      <c r="F9">
        <v>7</v>
      </c>
      <c r="G9">
        <v>3500</v>
      </c>
      <c r="H9">
        <v>24500</v>
      </c>
    </row>
    <row r="10" spans="1:8" x14ac:dyDescent="0.25">
      <c r="A10" t="s">
        <v>30</v>
      </c>
      <c r="B10" t="s">
        <v>24</v>
      </c>
      <c r="C10" t="s">
        <v>21</v>
      </c>
      <c r="D10" t="s">
        <v>31</v>
      </c>
      <c r="E10" t="s">
        <v>29</v>
      </c>
      <c r="F10">
        <v>7</v>
      </c>
      <c r="G10">
        <v>1200</v>
      </c>
      <c r="H10">
        <v>8400</v>
      </c>
    </row>
    <row r="11" spans="1:8" x14ac:dyDescent="0.25">
      <c r="A11" t="s">
        <v>20</v>
      </c>
      <c r="B11" t="s">
        <v>9</v>
      </c>
      <c r="C11" t="s">
        <v>21</v>
      </c>
      <c r="D11" t="s">
        <v>16</v>
      </c>
      <c r="E11" t="s">
        <v>12</v>
      </c>
      <c r="F11">
        <v>10</v>
      </c>
      <c r="G11">
        <v>80</v>
      </c>
      <c r="H11">
        <v>800</v>
      </c>
    </row>
    <row r="12" spans="1:8" x14ac:dyDescent="0.25">
      <c r="A12" t="s">
        <v>32</v>
      </c>
      <c r="B12" t="s">
        <v>9</v>
      </c>
      <c r="C12" t="s">
        <v>27</v>
      </c>
      <c r="D12" t="s">
        <v>11</v>
      </c>
      <c r="E12" t="s">
        <v>12</v>
      </c>
      <c r="F12">
        <v>4</v>
      </c>
      <c r="G12">
        <v>150</v>
      </c>
      <c r="H12">
        <v>600</v>
      </c>
    </row>
    <row r="13" spans="1:8" x14ac:dyDescent="0.25">
      <c r="A13" t="s">
        <v>33</v>
      </c>
      <c r="B13" t="s">
        <v>24</v>
      </c>
      <c r="C13" t="s">
        <v>27</v>
      </c>
      <c r="D13" t="s">
        <v>19</v>
      </c>
      <c r="E13" t="s">
        <v>12</v>
      </c>
      <c r="F13">
        <v>4</v>
      </c>
      <c r="G13">
        <v>300</v>
      </c>
      <c r="H13">
        <v>1200</v>
      </c>
    </row>
    <row r="14" spans="1:8" x14ac:dyDescent="0.25">
      <c r="A14" t="s">
        <v>34</v>
      </c>
      <c r="B14" t="s">
        <v>24</v>
      </c>
      <c r="C14" t="s">
        <v>21</v>
      </c>
      <c r="D14" t="s">
        <v>16</v>
      </c>
      <c r="E14" t="s">
        <v>12</v>
      </c>
      <c r="F14">
        <v>10</v>
      </c>
      <c r="G14">
        <v>80</v>
      </c>
      <c r="H14">
        <v>800</v>
      </c>
    </row>
    <row r="15" spans="1:8" x14ac:dyDescent="0.25">
      <c r="A15" t="s">
        <v>35</v>
      </c>
      <c r="B15" t="s">
        <v>24</v>
      </c>
      <c r="C15" t="s">
        <v>10</v>
      </c>
      <c r="D15" t="s">
        <v>11</v>
      </c>
      <c r="E15" t="s">
        <v>12</v>
      </c>
      <c r="F15">
        <v>5</v>
      </c>
      <c r="G15">
        <v>150</v>
      </c>
      <c r="H15">
        <v>750</v>
      </c>
    </row>
    <row r="16" spans="1:8" x14ac:dyDescent="0.25">
      <c r="A16" t="s">
        <v>36</v>
      </c>
      <c r="B16" t="s">
        <v>37</v>
      </c>
      <c r="C16" t="s">
        <v>18</v>
      </c>
      <c r="D16" t="s">
        <v>19</v>
      </c>
      <c r="E16" t="s">
        <v>12</v>
      </c>
      <c r="F16">
        <v>6</v>
      </c>
      <c r="G16">
        <v>300</v>
      </c>
      <c r="H16">
        <v>1800</v>
      </c>
    </row>
    <row r="17" spans="1:8" x14ac:dyDescent="0.25">
      <c r="A17" t="s">
        <v>38</v>
      </c>
      <c r="B17" t="s">
        <v>24</v>
      </c>
      <c r="C17" t="s">
        <v>10</v>
      </c>
      <c r="D17" t="s">
        <v>28</v>
      </c>
      <c r="E17" t="s">
        <v>29</v>
      </c>
      <c r="F17">
        <v>2</v>
      </c>
      <c r="G17">
        <v>3500</v>
      </c>
      <c r="H17">
        <v>7000</v>
      </c>
    </row>
    <row r="18" spans="1:8" x14ac:dyDescent="0.25">
      <c r="A18" t="s">
        <v>23</v>
      </c>
      <c r="B18" t="s">
        <v>24</v>
      </c>
      <c r="C18" t="s">
        <v>18</v>
      </c>
      <c r="D18" t="s">
        <v>16</v>
      </c>
      <c r="E18" t="s">
        <v>12</v>
      </c>
      <c r="F18">
        <v>6</v>
      </c>
      <c r="G18">
        <v>80</v>
      </c>
      <c r="H18">
        <v>480</v>
      </c>
    </row>
    <row r="19" spans="1:8" x14ac:dyDescent="0.25">
      <c r="A19" t="s">
        <v>39</v>
      </c>
      <c r="B19" t="s">
        <v>14</v>
      </c>
      <c r="C19" t="s">
        <v>10</v>
      </c>
      <c r="D19" t="s">
        <v>19</v>
      </c>
      <c r="E19" t="s">
        <v>12</v>
      </c>
      <c r="F19">
        <v>6</v>
      </c>
      <c r="G19">
        <v>300</v>
      </c>
      <c r="H19">
        <v>1800</v>
      </c>
    </row>
    <row r="20" spans="1:8" x14ac:dyDescent="0.25">
      <c r="A20" t="s">
        <v>40</v>
      </c>
      <c r="B20" t="s">
        <v>41</v>
      </c>
      <c r="C20" t="s">
        <v>18</v>
      </c>
      <c r="D20" t="s">
        <v>16</v>
      </c>
      <c r="E20" t="s">
        <v>12</v>
      </c>
      <c r="F20">
        <v>10</v>
      </c>
      <c r="G20">
        <v>80</v>
      </c>
      <c r="H20">
        <v>800</v>
      </c>
    </row>
    <row r="21" spans="1:8" x14ac:dyDescent="0.25">
      <c r="A21" t="s">
        <v>42</v>
      </c>
      <c r="B21" t="s">
        <v>24</v>
      </c>
      <c r="C21" t="s">
        <v>18</v>
      </c>
      <c r="D21" t="s">
        <v>19</v>
      </c>
      <c r="E21" t="s">
        <v>12</v>
      </c>
      <c r="F21">
        <v>8</v>
      </c>
      <c r="G21">
        <v>300</v>
      </c>
      <c r="H21">
        <v>2400</v>
      </c>
    </row>
    <row r="22" spans="1:8" x14ac:dyDescent="0.25">
      <c r="A22" t="s">
        <v>13</v>
      </c>
      <c r="B22" t="s">
        <v>9</v>
      </c>
      <c r="C22" t="s">
        <v>18</v>
      </c>
      <c r="D22" t="s">
        <v>31</v>
      </c>
      <c r="E22" t="s">
        <v>29</v>
      </c>
      <c r="F22">
        <v>6</v>
      </c>
      <c r="G22">
        <v>1200</v>
      </c>
      <c r="H22">
        <v>7200</v>
      </c>
    </row>
    <row r="23" spans="1:8" x14ac:dyDescent="0.25">
      <c r="A23" t="s">
        <v>33</v>
      </c>
      <c r="B23" t="s">
        <v>14</v>
      </c>
      <c r="C23" t="s">
        <v>21</v>
      </c>
      <c r="D23" t="s">
        <v>11</v>
      </c>
      <c r="E23" t="s">
        <v>12</v>
      </c>
      <c r="F23">
        <v>9</v>
      </c>
      <c r="G23">
        <v>150</v>
      </c>
      <c r="H23">
        <v>1350</v>
      </c>
    </row>
    <row r="24" spans="1:8" x14ac:dyDescent="0.25">
      <c r="A24" t="s">
        <v>25</v>
      </c>
      <c r="B24" t="s">
        <v>14</v>
      </c>
      <c r="C24" t="s">
        <v>10</v>
      </c>
      <c r="D24" t="s">
        <v>16</v>
      </c>
      <c r="E24" t="s">
        <v>12</v>
      </c>
      <c r="F24">
        <v>8</v>
      </c>
      <c r="G24">
        <v>80</v>
      </c>
      <c r="H24">
        <v>640</v>
      </c>
    </row>
    <row r="25" spans="1:8" x14ac:dyDescent="0.25">
      <c r="A25" t="s">
        <v>8</v>
      </c>
      <c r="B25" t="s">
        <v>24</v>
      </c>
      <c r="C25" t="s">
        <v>43</v>
      </c>
      <c r="D25" t="s">
        <v>28</v>
      </c>
      <c r="E25" t="s">
        <v>29</v>
      </c>
      <c r="F25">
        <v>3</v>
      </c>
      <c r="G25">
        <v>3500</v>
      </c>
      <c r="H25">
        <v>10500</v>
      </c>
    </row>
    <row r="26" spans="1:8" x14ac:dyDescent="0.25">
      <c r="A26" t="s">
        <v>44</v>
      </c>
      <c r="B26" t="s">
        <v>9</v>
      </c>
      <c r="C26" t="s">
        <v>15</v>
      </c>
      <c r="D26" t="s">
        <v>11</v>
      </c>
      <c r="E26" t="s">
        <v>12</v>
      </c>
      <c r="F26">
        <v>7</v>
      </c>
      <c r="G26">
        <v>150</v>
      </c>
      <c r="H26">
        <v>1050</v>
      </c>
    </row>
    <row r="27" spans="1:8" x14ac:dyDescent="0.25">
      <c r="A27" t="s">
        <v>45</v>
      </c>
      <c r="B27" t="s">
        <v>41</v>
      </c>
      <c r="C27" t="s">
        <v>43</v>
      </c>
      <c r="D27" t="s">
        <v>11</v>
      </c>
      <c r="E27" t="s">
        <v>12</v>
      </c>
      <c r="F27">
        <v>4</v>
      </c>
      <c r="G27">
        <v>150</v>
      </c>
      <c r="H27">
        <v>600</v>
      </c>
    </row>
    <row r="28" spans="1:8" x14ac:dyDescent="0.25">
      <c r="A28" t="s">
        <v>46</v>
      </c>
      <c r="B28" t="s">
        <v>14</v>
      </c>
      <c r="C28" t="s">
        <v>18</v>
      </c>
      <c r="D28" t="s">
        <v>31</v>
      </c>
      <c r="E28" t="s">
        <v>29</v>
      </c>
      <c r="F28">
        <v>4</v>
      </c>
      <c r="G28">
        <v>1200</v>
      </c>
      <c r="H28">
        <v>4800</v>
      </c>
    </row>
    <row r="29" spans="1:8" x14ac:dyDescent="0.25">
      <c r="A29" t="s">
        <v>42</v>
      </c>
      <c r="B29" t="s">
        <v>14</v>
      </c>
      <c r="C29" t="s">
        <v>18</v>
      </c>
      <c r="D29" t="s">
        <v>16</v>
      </c>
      <c r="E29" t="s">
        <v>12</v>
      </c>
      <c r="F29">
        <v>7</v>
      </c>
      <c r="G29">
        <v>80</v>
      </c>
      <c r="H29">
        <v>560</v>
      </c>
    </row>
    <row r="30" spans="1:8" x14ac:dyDescent="0.25">
      <c r="A30" t="s">
        <v>23</v>
      </c>
      <c r="B30" t="s">
        <v>37</v>
      </c>
      <c r="C30" t="s">
        <v>21</v>
      </c>
      <c r="D30" t="s">
        <v>16</v>
      </c>
      <c r="E30" t="s">
        <v>12</v>
      </c>
      <c r="F30">
        <v>9</v>
      </c>
      <c r="G30">
        <v>80</v>
      </c>
      <c r="H30">
        <v>720</v>
      </c>
    </row>
    <row r="31" spans="1:8" x14ac:dyDescent="0.25">
      <c r="A31" t="s">
        <v>47</v>
      </c>
      <c r="B31" t="s">
        <v>41</v>
      </c>
      <c r="C31" t="s">
        <v>15</v>
      </c>
      <c r="D31" t="s">
        <v>16</v>
      </c>
      <c r="E31" t="s">
        <v>12</v>
      </c>
      <c r="F31">
        <v>10</v>
      </c>
      <c r="G31">
        <v>80</v>
      </c>
      <c r="H31">
        <v>800</v>
      </c>
    </row>
    <row r="32" spans="1:8" x14ac:dyDescent="0.25">
      <c r="A32" t="s">
        <v>48</v>
      </c>
      <c r="B32" t="s">
        <v>41</v>
      </c>
      <c r="C32" t="s">
        <v>21</v>
      </c>
      <c r="D32" t="s">
        <v>28</v>
      </c>
      <c r="E32" t="s">
        <v>29</v>
      </c>
      <c r="F32">
        <v>6</v>
      </c>
      <c r="G32">
        <v>3500</v>
      </c>
      <c r="H32">
        <v>21000</v>
      </c>
    </row>
    <row r="33" spans="1:8" x14ac:dyDescent="0.25">
      <c r="A33" t="s">
        <v>49</v>
      </c>
      <c r="B33" t="s">
        <v>14</v>
      </c>
      <c r="C33" t="s">
        <v>15</v>
      </c>
      <c r="D33" t="s">
        <v>19</v>
      </c>
      <c r="E33" t="s">
        <v>12</v>
      </c>
      <c r="F33">
        <v>8</v>
      </c>
      <c r="G33">
        <v>300</v>
      </c>
      <c r="H33">
        <v>2400</v>
      </c>
    </row>
    <row r="34" spans="1:8" x14ac:dyDescent="0.25">
      <c r="A34" t="s">
        <v>47</v>
      </c>
      <c r="B34" t="s">
        <v>9</v>
      </c>
      <c r="C34" t="s">
        <v>10</v>
      </c>
      <c r="D34" t="s">
        <v>19</v>
      </c>
      <c r="E34" t="s">
        <v>12</v>
      </c>
      <c r="F34">
        <v>5</v>
      </c>
      <c r="G34">
        <v>300</v>
      </c>
      <c r="H34">
        <v>1500</v>
      </c>
    </row>
    <row r="35" spans="1:8" x14ac:dyDescent="0.25">
      <c r="A35" t="s">
        <v>33</v>
      </c>
      <c r="B35" t="s">
        <v>24</v>
      </c>
      <c r="C35" t="s">
        <v>10</v>
      </c>
      <c r="D35" t="s">
        <v>16</v>
      </c>
      <c r="E35" t="s">
        <v>12</v>
      </c>
      <c r="F35">
        <v>2</v>
      </c>
      <c r="G35">
        <v>80</v>
      </c>
      <c r="H35">
        <v>160</v>
      </c>
    </row>
    <row r="36" spans="1:8" x14ac:dyDescent="0.25">
      <c r="A36" t="s">
        <v>50</v>
      </c>
      <c r="B36" t="s">
        <v>14</v>
      </c>
      <c r="C36" t="s">
        <v>10</v>
      </c>
      <c r="D36" t="s">
        <v>31</v>
      </c>
      <c r="E36" t="s">
        <v>29</v>
      </c>
      <c r="F36">
        <v>3</v>
      </c>
      <c r="G36">
        <v>1200</v>
      </c>
      <c r="H36">
        <v>3600</v>
      </c>
    </row>
    <row r="37" spans="1:8" x14ac:dyDescent="0.25">
      <c r="A37" t="s">
        <v>51</v>
      </c>
      <c r="B37" t="s">
        <v>24</v>
      </c>
      <c r="C37" t="s">
        <v>10</v>
      </c>
      <c r="D37" t="s">
        <v>28</v>
      </c>
      <c r="E37" t="s">
        <v>29</v>
      </c>
      <c r="F37">
        <v>3</v>
      </c>
      <c r="G37">
        <v>3500</v>
      </c>
      <c r="H37">
        <v>10500</v>
      </c>
    </row>
    <row r="38" spans="1:8" x14ac:dyDescent="0.25">
      <c r="A38" t="s">
        <v>34</v>
      </c>
      <c r="B38" t="s">
        <v>37</v>
      </c>
      <c r="C38" t="s">
        <v>15</v>
      </c>
      <c r="D38" t="s">
        <v>28</v>
      </c>
      <c r="E38" t="s">
        <v>29</v>
      </c>
      <c r="F38">
        <v>9</v>
      </c>
      <c r="G38">
        <v>3500</v>
      </c>
      <c r="H38">
        <v>31500</v>
      </c>
    </row>
    <row r="39" spans="1:8" x14ac:dyDescent="0.25">
      <c r="A39" t="s">
        <v>51</v>
      </c>
      <c r="B39" t="s">
        <v>41</v>
      </c>
      <c r="C39" t="s">
        <v>27</v>
      </c>
      <c r="D39" t="s">
        <v>31</v>
      </c>
      <c r="E39" t="s">
        <v>29</v>
      </c>
      <c r="F39">
        <v>5</v>
      </c>
      <c r="G39">
        <v>1200</v>
      </c>
      <c r="H39">
        <v>6000</v>
      </c>
    </row>
    <row r="40" spans="1:8" x14ac:dyDescent="0.25">
      <c r="A40" t="s">
        <v>52</v>
      </c>
      <c r="B40" t="s">
        <v>41</v>
      </c>
      <c r="C40" t="s">
        <v>43</v>
      </c>
      <c r="D40" t="s">
        <v>11</v>
      </c>
      <c r="E40" t="s">
        <v>12</v>
      </c>
      <c r="F40">
        <v>3</v>
      </c>
      <c r="G40">
        <v>150</v>
      </c>
      <c r="H40">
        <v>450</v>
      </c>
    </row>
    <row r="41" spans="1:8" x14ac:dyDescent="0.25">
      <c r="A41" t="s">
        <v>13</v>
      </c>
      <c r="B41" t="s">
        <v>24</v>
      </c>
      <c r="C41" t="s">
        <v>43</v>
      </c>
      <c r="D41" t="s">
        <v>16</v>
      </c>
      <c r="E41" t="s">
        <v>12</v>
      </c>
      <c r="F41">
        <v>2</v>
      </c>
      <c r="G41">
        <v>80</v>
      </c>
      <c r="H41">
        <v>160</v>
      </c>
    </row>
    <row r="42" spans="1:8" x14ac:dyDescent="0.25">
      <c r="A42" t="s">
        <v>8</v>
      </c>
      <c r="B42" t="s">
        <v>9</v>
      </c>
      <c r="C42" t="s">
        <v>27</v>
      </c>
      <c r="D42" t="s">
        <v>11</v>
      </c>
      <c r="E42" t="s">
        <v>12</v>
      </c>
      <c r="F42">
        <v>3</v>
      </c>
      <c r="G42">
        <v>150</v>
      </c>
      <c r="H42">
        <v>450</v>
      </c>
    </row>
    <row r="43" spans="1:8" x14ac:dyDescent="0.25">
      <c r="A43" t="s">
        <v>53</v>
      </c>
      <c r="B43" t="s">
        <v>41</v>
      </c>
      <c r="C43" t="s">
        <v>10</v>
      </c>
      <c r="D43" t="s">
        <v>11</v>
      </c>
      <c r="E43" t="s">
        <v>12</v>
      </c>
      <c r="F43">
        <v>2</v>
      </c>
      <c r="G43">
        <v>150</v>
      </c>
      <c r="H43">
        <v>300</v>
      </c>
    </row>
    <row r="44" spans="1:8" x14ac:dyDescent="0.25">
      <c r="A44" t="s">
        <v>54</v>
      </c>
      <c r="B44" t="s">
        <v>41</v>
      </c>
      <c r="C44" t="s">
        <v>43</v>
      </c>
      <c r="D44" t="s">
        <v>19</v>
      </c>
      <c r="E44" t="s">
        <v>12</v>
      </c>
      <c r="F44">
        <v>3</v>
      </c>
      <c r="G44">
        <v>300</v>
      </c>
      <c r="H44">
        <v>900</v>
      </c>
    </row>
    <row r="45" spans="1:8" x14ac:dyDescent="0.25">
      <c r="A45" t="s">
        <v>55</v>
      </c>
      <c r="B45" t="s">
        <v>14</v>
      </c>
      <c r="C45" t="s">
        <v>15</v>
      </c>
      <c r="D45" t="s">
        <v>16</v>
      </c>
      <c r="E45" t="s">
        <v>12</v>
      </c>
      <c r="F45">
        <v>2</v>
      </c>
      <c r="G45">
        <v>80</v>
      </c>
      <c r="H45">
        <v>160</v>
      </c>
    </row>
    <row r="46" spans="1:8" x14ac:dyDescent="0.25">
      <c r="A46" t="s">
        <v>48</v>
      </c>
      <c r="B46" t="s">
        <v>37</v>
      </c>
      <c r="C46" t="s">
        <v>43</v>
      </c>
      <c r="D46" t="s">
        <v>19</v>
      </c>
      <c r="E46" t="s">
        <v>12</v>
      </c>
      <c r="F46">
        <v>2</v>
      </c>
      <c r="G46">
        <v>300</v>
      </c>
      <c r="H46">
        <v>600</v>
      </c>
    </row>
    <row r="47" spans="1:8" x14ac:dyDescent="0.25">
      <c r="A47" t="s">
        <v>35</v>
      </c>
      <c r="B47" t="s">
        <v>24</v>
      </c>
      <c r="C47" t="s">
        <v>27</v>
      </c>
      <c r="D47" t="s">
        <v>16</v>
      </c>
      <c r="E47" t="s">
        <v>12</v>
      </c>
      <c r="F47">
        <v>3</v>
      </c>
      <c r="G47">
        <v>80</v>
      </c>
      <c r="H47">
        <v>240</v>
      </c>
    </row>
    <row r="48" spans="1:8" x14ac:dyDescent="0.25">
      <c r="A48" t="s">
        <v>23</v>
      </c>
      <c r="B48" t="s">
        <v>14</v>
      </c>
      <c r="C48" t="s">
        <v>43</v>
      </c>
      <c r="D48" t="s">
        <v>31</v>
      </c>
      <c r="E48" t="s">
        <v>29</v>
      </c>
      <c r="F48">
        <v>5</v>
      </c>
      <c r="G48">
        <v>1200</v>
      </c>
      <c r="H48">
        <v>6000</v>
      </c>
    </row>
    <row r="49" spans="1:8" x14ac:dyDescent="0.25">
      <c r="A49" t="s">
        <v>13</v>
      </c>
      <c r="B49" t="s">
        <v>9</v>
      </c>
      <c r="C49" t="s">
        <v>10</v>
      </c>
      <c r="D49" t="s">
        <v>11</v>
      </c>
      <c r="E49" t="s">
        <v>12</v>
      </c>
      <c r="F49">
        <v>1</v>
      </c>
      <c r="G49">
        <v>150</v>
      </c>
      <c r="H49">
        <v>150</v>
      </c>
    </row>
    <row r="50" spans="1:8" x14ac:dyDescent="0.25">
      <c r="A50" t="s">
        <v>49</v>
      </c>
      <c r="B50" t="s">
        <v>24</v>
      </c>
      <c r="C50" t="s">
        <v>21</v>
      </c>
      <c r="D50" t="s">
        <v>19</v>
      </c>
      <c r="E50" t="s">
        <v>12</v>
      </c>
      <c r="F50">
        <v>4</v>
      </c>
      <c r="G50">
        <v>300</v>
      </c>
      <c r="H50">
        <v>1200</v>
      </c>
    </row>
    <row r="51" spans="1:8" x14ac:dyDescent="0.25">
      <c r="A51" t="s">
        <v>34</v>
      </c>
      <c r="B51" t="s">
        <v>24</v>
      </c>
      <c r="C51" t="s">
        <v>15</v>
      </c>
      <c r="D51" t="s">
        <v>31</v>
      </c>
      <c r="E51" t="s">
        <v>29</v>
      </c>
      <c r="F51">
        <v>7</v>
      </c>
      <c r="G51">
        <v>1200</v>
      </c>
      <c r="H51">
        <v>8400</v>
      </c>
    </row>
    <row r="52" spans="1:8" x14ac:dyDescent="0.25">
      <c r="A52" t="s">
        <v>47</v>
      </c>
      <c r="B52" t="s">
        <v>9</v>
      </c>
      <c r="C52" t="s">
        <v>10</v>
      </c>
      <c r="D52" t="s">
        <v>28</v>
      </c>
      <c r="E52" t="s">
        <v>29</v>
      </c>
      <c r="F52">
        <v>9</v>
      </c>
      <c r="G52">
        <v>3500</v>
      </c>
      <c r="H52">
        <v>31500</v>
      </c>
    </row>
    <row r="53" spans="1:8" x14ac:dyDescent="0.25">
      <c r="A53" t="s">
        <v>56</v>
      </c>
      <c r="B53" t="s">
        <v>14</v>
      </c>
      <c r="C53" t="s">
        <v>27</v>
      </c>
      <c r="D53" t="s">
        <v>11</v>
      </c>
      <c r="E53" t="s">
        <v>12</v>
      </c>
      <c r="F53">
        <v>9</v>
      </c>
      <c r="G53">
        <v>150</v>
      </c>
      <c r="H53">
        <v>1350</v>
      </c>
    </row>
    <row r="54" spans="1:8" x14ac:dyDescent="0.25">
      <c r="A54" t="s">
        <v>52</v>
      </c>
      <c r="B54" t="s">
        <v>41</v>
      </c>
      <c r="C54" t="s">
        <v>21</v>
      </c>
      <c r="D54" t="s">
        <v>11</v>
      </c>
      <c r="E54" t="s">
        <v>12</v>
      </c>
      <c r="F54">
        <v>2</v>
      </c>
      <c r="G54">
        <v>150</v>
      </c>
      <c r="H54">
        <v>300</v>
      </c>
    </row>
    <row r="55" spans="1:8" x14ac:dyDescent="0.25">
      <c r="A55" t="s">
        <v>57</v>
      </c>
      <c r="B55" t="s">
        <v>24</v>
      </c>
      <c r="C55" t="s">
        <v>15</v>
      </c>
      <c r="D55" t="s">
        <v>31</v>
      </c>
      <c r="E55" t="s">
        <v>29</v>
      </c>
      <c r="F55">
        <v>6</v>
      </c>
      <c r="G55">
        <v>1200</v>
      </c>
      <c r="H55">
        <v>7200</v>
      </c>
    </row>
    <row r="56" spans="1:8" x14ac:dyDescent="0.25">
      <c r="A56" t="s">
        <v>58</v>
      </c>
      <c r="B56" t="s">
        <v>37</v>
      </c>
      <c r="C56" t="s">
        <v>43</v>
      </c>
      <c r="D56" t="s">
        <v>19</v>
      </c>
      <c r="E56" t="s">
        <v>12</v>
      </c>
      <c r="F56">
        <v>1</v>
      </c>
      <c r="G56">
        <v>300</v>
      </c>
      <c r="H56">
        <v>300</v>
      </c>
    </row>
    <row r="57" spans="1:8" x14ac:dyDescent="0.25">
      <c r="A57" t="s">
        <v>35</v>
      </c>
      <c r="B57" t="s">
        <v>41</v>
      </c>
      <c r="C57" t="s">
        <v>43</v>
      </c>
      <c r="D57" t="s">
        <v>16</v>
      </c>
      <c r="E57" t="s">
        <v>12</v>
      </c>
      <c r="F57">
        <v>10</v>
      </c>
      <c r="G57">
        <v>80</v>
      </c>
      <c r="H57">
        <v>800</v>
      </c>
    </row>
    <row r="58" spans="1:8" x14ac:dyDescent="0.25">
      <c r="A58" t="s">
        <v>57</v>
      </c>
      <c r="B58" t="s">
        <v>24</v>
      </c>
      <c r="C58" t="s">
        <v>10</v>
      </c>
      <c r="D58" t="s">
        <v>28</v>
      </c>
      <c r="E58" t="s">
        <v>29</v>
      </c>
      <c r="F58">
        <v>7</v>
      </c>
      <c r="G58">
        <v>3500</v>
      </c>
      <c r="H58">
        <v>24500</v>
      </c>
    </row>
    <row r="59" spans="1:8" x14ac:dyDescent="0.25">
      <c r="A59" t="s">
        <v>59</v>
      </c>
      <c r="B59" t="s">
        <v>41</v>
      </c>
      <c r="C59" t="s">
        <v>15</v>
      </c>
      <c r="D59" t="s">
        <v>16</v>
      </c>
      <c r="E59" t="s">
        <v>12</v>
      </c>
      <c r="F59">
        <v>2</v>
      </c>
      <c r="G59">
        <v>80</v>
      </c>
      <c r="H59">
        <v>160</v>
      </c>
    </row>
    <row r="60" spans="1:8" x14ac:dyDescent="0.25">
      <c r="A60" t="s">
        <v>33</v>
      </c>
      <c r="B60" t="s">
        <v>37</v>
      </c>
      <c r="C60" t="s">
        <v>18</v>
      </c>
      <c r="D60" t="s">
        <v>31</v>
      </c>
      <c r="E60" t="s">
        <v>29</v>
      </c>
      <c r="F60">
        <v>3</v>
      </c>
      <c r="G60">
        <v>1200</v>
      </c>
      <c r="H60">
        <v>3600</v>
      </c>
    </row>
    <row r="61" spans="1:8" x14ac:dyDescent="0.25">
      <c r="A61" t="s">
        <v>59</v>
      </c>
      <c r="B61" t="s">
        <v>24</v>
      </c>
      <c r="C61" t="s">
        <v>10</v>
      </c>
      <c r="D61" t="s">
        <v>28</v>
      </c>
      <c r="E61" t="s">
        <v>29</v>
      </c>
      <c r="F61">
        <v>5</v>
      </c>
      <c r="G61">
        <v>3500</v>
      </c>
      <c r="H61">
        <v>17500</v>
      </c>
    </row>
    <row r="62" spans="1:8" x14ac:dyDescent="0.25">
      <c r="A62" t="s">
        <v>60</v>
      </c>
      <c r="B62" t="s">
        <v>24</v>
      </c>
      <c r="C62" t="s">
        <v>15</v>
      </c>
      <c r="D62" t="s">
        <v>19</v>
      </c>
      <c r="E62" t="s">
        <v>12</v>
      </c>
      <c r="F62">
        <v>6</v>
      </c>
      <c r="G62">
        <v>300</v>
      </c>
      <c r="H62">
        <v>1800</v>
      </c>
    </row>
    <row r="63" spans="1:8" x14ac:dyDescent="0.25">
      <c r="A63" t="s">
        <v>45</v>
      </c>
      <c r="B63" t="s">
        <v>9</v>
      </c>
      <c r="C63" t="s">
        <v>27</v>
      </c>
      <c r="D63" t="s">
        <v>11</v>
      </c>
      <c r="E63" t="s">
        <v>12</v>
      </c>
      <c r="F63">
        <v>4</v>
      </c>
      <c r="G63">
        <v>150</v>
      </c>
      <c r="H63">
        <v>600</v>
      </c>
    </row>
    <row r="64" spans="1:8" x14ac:dyDescent="0.25">
      <c r="A64" t="s">
        <v>30</v>
      </c>
      <c r="B64" t="s">
        <v>37</v>
      </c>
      <c r="C64" t="s">
        <v>10</v>
      </c>
      <c r="D64" t="s">
        <v>31</v>
      </c>
      <c r="E64" t="s">
        <v>29</v>
      </c>
      <c r="F64">
        <v>7</v>
      </c>
      <c r="G64">
        <v>1200</v>
      </c>
      <c r="H64">
        <v>8400</v>
      </c>
    </row>
    <row r="65" spans="1:8" x14ac:dyDescent="0.25">
      <c r="A65" t="s">
        <v>56</v>
      </c>
      <c r="B65" t="s">
        <v>14</v>
      </c>
      <c r="C65" t="s">
        <v>18</v>
      </c>
      <c r="D65" t="s">
        <v>31</v>
      </c>
      <c r="E65" t="s">
        <v>29</v>
      </c>
      <c r="F65">
        <v>5</v>
      </c>
      <c r="G65">
        <v>1200</v>
      </c>
      <c r="H65">
        <v>6000</v>
      </c>
    </row>
    <row r="66" spans="1:8" x14ac:dyDescent="0.25">
      <c r="A66" t="s">
        <v>61</v>
      </c>
      <c r="B66" t="s">
        <v>41</v>
      </c>
      <c r="C66" t="s">
        <v>21</v>
      </c>
      <c r="D66" t="s">
        <v>11</v>
      </c>
      <c r="E66" t="s">
        <v>12</v>
      </c>
      <c r="F66">
        <v>4</v>
      </c>
      <c r="G66">
        <v>150</v>
      </c>
      <c r="H66">
        <v>600</v>
      </c>
    </row>
    <row r="67" spans="1:8" x14ac:dyDescent="0.25">
      <c r="A67" t="s">
        <v>33</v>
      </c>
      <c r="B67" t="s">
        <v>14</v>
      </c>
      <c r="C67" t="s">
        <v>27</v>
      </c>
      <c r="D67" t="s">
        <v>19</v>
      </c>
      <c r="E67" t="s">
        <v>12</v>
      </c>
      <c r="F67">
        <v>6</v>
      </c>
      <c r="G67">
        <v>300</v>
      </c>
      <c r="H67">
        <v>1800</v>
      </c>
    </row>
    <row r="68" spans="1:8" x14ac:dyDescent="0.25">
      <c r="A68" t="s">
        <v>20</v>
      </c>
      <c r="B68" t="s">
        <v>41</v>
      </c>
      <c r="C68" t="s">
        <v>15</v>
      </c>
      <c r="D68" t="s">
        <v>16</v>
      </c>
      <c r="E68" t="s">
        <v>12</v>
      </c>
      <c r="F68">
        <v>7</v>
      </c>
      <c r="G68">
        <v>80</v>
      </c>
      <c r="H68">
        <v>560</v>
      </c>
    </row>
    <row r="69" spans="1:8" x14ac:dyDescent="0.25">
      <c r="A69" t="s">
        <v>55</v>
      </c>
      <c r="B69" t="s">
        <v>9</v>
      </c>
      <c r="C69" t="s">
        <v>27</v>
      </c>
      <c r="D69" t="s">
        <v>28</v>
      </c>
      <c r="E69" t="s">
        <v>29</v>
      </c>
      <c r="F69">
        <v>6</v>
      </c>
      <c r="G69">
        <v>3500</v>
      </c>
      <c r="H69">
        <v>21000</v>
      </c>
    </row>
    <row r="70" spans="1:8" x14ac:dyDescent="0.25">
      <c r="A70" t="s">
        <v>51</v>
      </c>
      <c r="B70" t="s">
        <v>37</v>
      </c>
      <c r="C70" t="s">
        <v>21</v>
      </c>
      <c r="D70" t="s">
        <v>11</v>
      </c>
      <c r="E70" t="s">
        <v>12</v>
      </c>
      <c r="F70">
        <v>5</v>
      </c>
      <c r="G70">
        <v>150</v>
      </c>
      <c r="H70">
        <v>750</v>
      </c>
    </row>
    <row r="71" spans="1:8" x14ac:dyDescent="0.25">
      <c r="A71" t="s">
        <v>62</v>
      </c>
      <c r="B71" t="s">
        <v>14</v>
      </c>
      <c r="C71" t="s">
        <v>18</v>
      </c>
      <c r="D71" t="s">
        <v>11</v>
      </c>
      <c r="E71" t="s">
        <v>12</v>
      </c>
      <c r="F71">
        <v>2</v>
      </c>
      <c r="G71">
        <v>150</v>
      </c>
      <c r="H71">
        <v>300</v>
      </c>
    </row>
    <row r="72" spans="1:8" x14ac:dyDescent="0.25">
      <c r="A72" t="s">
        <v>59</v>
      </c>
      <c r="B72" t="s">
        <v>37</v>
      </c>
      <c r="C72" t="s">
        <v>15</v>
      </c>
      <c r="D72" t="s">
        <v>16</v>
      </c>
      <c r="E72" t="s">
        <v>12</v>
      </c>
      <c r="F72">
        <v>7</v>
      </c>
      <c r="G72">
        <v>80</v>
      </c>
      <c r="H72">
        <v>560</v>
      </c>
    </row>
    <row r="73" spans="1:8" x14ac:dyDescent="0.25">
      <c r="A73" t="s">
        <v>20</v>
      </c>
      <c r="B73" t="s">
        <v>41</v>
      </c>
      <c r="C73" t="s">
        <v>18</v>
      </c>
      <c r="D73" t="s">
        <v>16</v>
      </c>
      <c r="E73" t="s">
        <v>12</v>
      </c>
      <c r="F73">
        <v>8</v>
      </c>
      <c r="G73">
        <v>80</v>
      </c>
      <c r="H73">
        <v>640</v>
      </c>
    </row>
    <row r="74" spans="1:8" x14ac:dyDescent="0.25">
      <c r="A74" t="s">
        <v>47</v>
      </c>
      <c r="B74" t="s">
        <v>14</v>
      </c>
      <c r="C74" t="s">
        <v>43</v>
      </c>
      <c r="D74" t="s">
        <v>19</v>
      </c>
      <c r="E74" t="s">
        <v>12</v>
      </c>
      <c r="F74">
        <v>4</v>
      </c>
      <c r="G74">
        <v>300</v>
      </c>
      <c r="H74">
        <v>1200</v>
      </c>
    </row>
    <row r="75" spans="1:8" x14ac:dyDescent="0.25">
      <c r="A75" t="s">
        <v>63</v>
      </c>
      <c r="B75" t="s">
        <v>14</v>
      </c>
      <c r="C75" t="s">
        <v>15</v>
      </c>
      <c r="D75" t="s">
        <v>31</v>
      </c>
      <c r="E75" t="s">
        <v>29</v>
      </c>
      <c r="F75">
        <v>3</v>
      </c>
      <c r="G75">
        <v>1200</v>
      </c>
      <c r="H75">
        <v>3600</v>
      </c>
    </row>
    <row r="76" spans="1:8" x14ac:dyDescent="0.25">
      <c r="A76" t="s">
        <v>58</v>
      </c>
      <c r="B76" t="s">
        <v>9</v>
      </c>
      <c r="C76" t="s">
        <v>27</v>
      </c>
      <c r="D76" t="s">
        <v>11</v>
      </c>
      <c r="E76" t="s">
        <v>12</v>
      </c>
      <c r="F76">
        <v>9</v>
      </c>
      <c r="G76">
        <v>150</v>
      </c>
      <c r="H76">
        <v>1350</v>
      </c>
    </row>
    <row r="77" spans="1:8" x14ac:dyDescent="0.25">
      <c r="A77" t="s">
        <v>34</v>
      </c>
      <c r="B77" t="s">
        <v>14</v>
      </c>
      <c r="C77" t="s">
        <v>27</v>
      </c>
      <c r="D77" t="s">
        <v>19</v>
      </c>
      <c r="E77" t="s">
        <v>12</v>
      </c>
      <c r="F77">
        <v>1</v>
      </c>
      <c r="G77">
        <v>300</v>
      </c>
      <c r="H77">
        <v>300</v>
      </c>
    </row>
    <row r="78" spans="1:8" x14ac:dyDescent="0.25">
      <c r="A78" t="s">
        <v>64</v>
      </c>
      <c r="B78" t="s">
        <v>14</v>
      </c>
      <c r="C78" t="s">
        <v>10</v>
      </c>
      <c r="D78" t="s">
        <v>11</v>
      </c>
      <c r="E78" t="s">
        <v>12</v>
      </c>
      <c r="F78">
        <v>3</v>
      </c>
      <c r="G78">
        <v>150</v>
      </c>
      <c r="H78">
        <v>450</v>
      </c>
    </row>
    <row r="79" spans="1:8" x14ac:dyDescent="0.25">
      <c r="A79" t="s">
        <v>20</v>
      </c>
      <c r="B79" t="s">
        <v>14</v>
      </c>
      <c r="C79" t="s">
        <v>43</v>
      </c>
      <c r="D79" t="s">
        <v>28</v>
      </c>
      <c r="E79" t="s">
        <v>29</v>
      </c>
      <c r="F79">
        <v>5</v>
      </c>
      <c r="G79">
        <v>3500</v>
      </c>
      <c r="H79">
        <v>17500</v>
      </c>
    </row>
    <row r="80" spans="1:8" x14ac:dyDescent="0.25">
      <c r="A80" t="s">
        <v>32</v>
      </c>
      <c r="B80" t="s">
        <v>37</v>
      </c>
      <c r="C80" t="s">
        <v>10</v>
      </c>
      <c r="D80" t="s">
        <v>31</v>
      </c>
      <c r="E80" t="s">
        <v>29</v>
      </c>
      <c r="F80">
        <v>9</v>
      </c>
      <c r="G80">
        <v>1200</v>
      </c>
      <c r="H80">
        <v>10800</v>
      </c>
    </row>
    <row r="81" spans="1:8" x14ac:dyDescent="0.25">
      <c r="A81" t="s">
        <v>62</v>
      </c>
      <c r="B81" t="s">
        <v>41</v>
      </c>
      <c r="C81" t="s">
        <v>43</v>
      </c>
      <c r="D81" t="s">
        <v>11</v>
      </c>
      <c r="E81" t="s">
        <v>12</v>
      </c>
      <c r="F81">
        <v>2</v>
      </c>
      <c r="G81">
        <v>150</v>
      </c>
      <c r="H81">
        <v>300</v>
      </c>
    </row>
    <row r="82" spans="1:8" x14ac:dyDescent="0.25">
      <c r="A82" t="s">
        <v>54</v>
      </c>
      <c r="B82" t="s">
        <v>9</v>
      </c>
      <c r="C82" t="s">
        <v>21</v>
      </c>
      <c r="D82" t="s">
        <v>16</v>
      </c>
      <c r="E82" t="s">
        <v>12</v>
      </c>
      <c r="F82">
        <v>8</v>
      </c>
      <c r="G82">
        <v>80</v>
      </c>
      <c r="H82">
        <v>640</v>
      </c>
    </row>
    <row r="83" spans="1:8" x14ac:dyDescent="0.25">
      <c r="A83" t="s">
        <v>65</v>
      </c>
      <c r="B83" t="s">
        <v>41</v>
      </c>
      <c r="C83" t="s">
        <v>15</v>
      </c>
      <c r="D83" t="s">
        <v>16</v>
      </c>
      <c r="E83" t="s">
        <v>12</v>
      </c>
      <c r="F83">
        <v>10</v>
      </c>
      <c r="G83">
        <v>80</v>
      </c>
      <c r="H83">
        <v>800</v>
      </c>
    </row>
    <row r="84" spans="1:8" x14ac:dyDescent="0.25">
      <c r="A84" t="s">
        <v>57</v>
      </c>
      <c r="B84" t="s">
        <v>24</v>
      </c>
      <c r="C84" t="s">
        <v>43</v>
      </c>
      <c r="D84" t="s">
        <v>28</v>
      </c>
      <c r="E84" t="s">
        <v>29</v>
      </c>
      <c r="F84">
        <v>1</v>
      </c>
      <c r="G84">
        <v>3500</v>
      </c>
      <c r="H84">
        <v>3500</v>
      </c>
    </row>
    <row r="85" spans="1:8" x14ac:dyDescent="0.25">
      <c r="A85" t="s">
        <v>34</v>
      </c>
      <c r="B85" t="s">
        <v>14</v>
      </c>
      <c r="C85" t="s">
        <v>27</v>
      </c>
      <c r="D85" t="s">
        <v>11</v>
      </c>
      <c r="E85" t="s">
        <v>12</v>
      </c>
      <c r="F85">
        <v>5</v>
      </c>
      <c r="G85">
        <v>150</v>
      </c>
      <c r="H85">
        <v>750</v>
      </c>
    </row>
    <row r="86" spans="1:8" x14ac:dyDescent="0.25">
      <c r="A86" t="s">
        <v>42</v>
      </c>
      <c r="B86" t="s">
        <v>41</v>
      </c>
      <c r="C86" t="s">
        <v>18</v>
      </c>
      <c r="D86" t="s">
        <v>19</v>
      </c>
      <c r="E86" t="s">
        <v>12</v>
      </c>
      <c r="F86">
        <v>8</v>
      </c>
      <c r="G86">
        <v>300</v>
      </c>
      <c r="H86">
        <v>2400</v>
      </c>
    </row>
    <row r="87" spans="1:8" x14ac:dyDescent="0.25">
      <c r="A87" t="s">
        <v>66</v>
      </c>
      <c r="B87" t="s">
        <v>9</v>
      </c>
      <c r="C87" t="s">
        <v>21</v>
      </c>
      <c r="D87" t="s">
        <v>16</v>
      </c>
      <c r="E87" t="s">
        <v>12</v>
      </c>
      <c r="F87">
        <v>10</v>
      </c>
      <c r="G87">
        <v>80</v>
      </c>
      <c r="H87">
        <v>800</v>
      </c>
    </row>
    <row r="88" spans="1:8" x14ac:dyDescent="0.25">
      <c r="A88" t="s">
        <v>40</v>
      </c>
      <c r="B88" t="s">
        <v>41</v>
      </c>
      <c r="C88" t="s">
        <v>18</v>
      </c>
      <c r="D88" t="s">
        <v>11</v>
      </c>
      <c r="E88" t="s">
        <v>12</v>
      </c>
      <c r="F88">
        <v>5</v>
      </c>
      <c r="G88">
        <v>150</v>
      </c>
      <c r="H88">
        <v>750</v>
      </c>
    </row>
    <row r="89" spans="1:8" x14ac:dyDescent="0.25">
      <c r="A89" t="s">
        <v>67</v>
      </c>
      <c r="B89" t="s">
        <v>9</v>
      </c>
      <c r="C89" t="s">
        <v>18</v>
      </c>
      <c r="D89" t="s">
        <v>19</v>
      </c>
      <c r="E89" t="s">
        <v>12</v>
      </c>
      <c r="F89">
        <v>4</v>
      </c>
      <c r="G89">
        <v>300</v>
      </c>
      <c r="H89">
        <v>1200</v>
      </c>
    </row>
    <row r="90" spans="1:8" x14ac:dyDescent="0.25">
      <c r="A90" t="s">
        <v>68</v>
      </c>
      <c r="B90" t="s">
        <v>37</v>
      </c>
      <c r="C90" t="s">
        <v>15</v>
      </c>
      <c r="D90" t="s">
        <v>11</v>
      </c>
      <c r="E90" t="s">
        <v>12</v>
      </c>
      <c r="F90">
        <v>1</v>
      </c>
      <c r="G90">
        <v>150</v>
      </c>
      <c r="H90">
        <v>150</v>
      </c>
    </row>
    <row r="91" spans="1:8" x14ac:dyDescent="0.25">
      <c r="A91" t="s">
        <v>63</v>
      </c>
      <c r="B91" t="s">
        <v>37</v>
      </c>
      <c r="C91" t="s">
        <v>27</v>
      </c>
      <c r="D91" t="s">
        <v>16</v>
      </c>
      <c r="E91" t="s">
        <v>12</v>
      </c>
      <c r="F91">
        <v>8</v>
      </c>
      <c r="G91">
        <v>80</v>
      </c>
      <c r="H91">
        <v>640</v>
      </c>
    </row>
    <row r="92" spans="1:8" x14ac:dyDescent="0.25">
      <c r="A92" t="s">
        <v>60</v>
      </c>
      <c r="B92" t="s">
        <v>14</v>
      </c>
      <c r="C92" t="s">
        <v>21</v>
      </c>
      <c r="D92" t="s">
        <v>31</v>
      </c>
      <c r="E92" t="s">
        <v>29</v>
      </c>
      <c r="F92">
        <v>7</v>
      </c>
      <c r="G92">
        <v>1200</v>
      </c>
      <c r="H92">
        <v>8400</v>
      </c>
    </row>
    <row r="93" spans="1:8" x14ac:dyDescent="0.25">
      <c r="A93" t="s">
        <v>61</v>
      </c>
      <c r="B93" t="s">
        <v>41</v>
      </c>
      <c r="C93" t="s">
        <v>21</v>
      </c>
      <c r="D93" t="s">
        <v>11</v>
      </c>
      <c r="E93" t="s">
        <v>12</v>
      </c>
      <c r="F93">
        <v>9</v>
      </c>
      <c r="G93">
        <v>150</v>
      </c>
      <c r="H93">
        <v>1350</v>
      </c>
    </row>
    <row r="94" spans="1:8" x14ac:dyDescent="0.25">
      <c r="A94" t="s">
        <v>64</v>
      </c>
      <c r="B94" t="s">
        <v>24</v>
      </c>
      <c r="C94" t="s">
        <v>27</v>
      </c>
      <c r="D94" t="s">
        <v>31</v>
      </c>
      <c r="E94" t="s">
        <v>29</v>
      </c>
      <c r="F94">
        <v>10</v>
      </c>
      <c r="G94">
        <v>1200</v>
      </c>
      <c r="H94">
        <v>12000</v>
      </c>
    </row>
    <row r="95" spans="1:8" x14ac:dyDescent="0.25">
      <c r="A95" t="s">
        <v>69</v>
      </c>
      <c r="B95" t="s">
        <v>24</v>
      </c>
      <c r="C95" t="s">
        <v>15</v>
      </c>
      <c r="D95" t="s">
        <v>28</v>
      </c>
      <c r="E95" t="s">
        <v>29</v>
      </c>
      <c r="F95">
        <v>4</v>
      </c>
      <c r="G95">
        <v>3500</v>
      </c>
      <c r="H95">
        <v>14000</v>
      </c>
    </row>
    <row r="96" spans="1:8" x14ac:dyDescent="0.25">
      <c r="A96" t="s">
        <v>52</v>
      </c>
      <c r="B96" t="s">
        <v>41</v>
      </c>
      <c r="C96" t="s">
        <v>18</v>
      </c>
      <c r="D96" t="s">
        <v>28</v>
      </c>
      <c r="E96" t="s">
        <v>29</v>
      </c>
      <c r="F96">
        <v>1</v>
      </c>
      <c r="G96">
        <v>3500</v>
      </c>
      <c r="H96">
        <v>3500</v>
      </c>
    </row>
    <row r="97" spans="1:8" x14ac:dyDescent="0.25">
      <c r="A97" t="s">
        <v>64</v>
      </c>
      <c r="B97" t="s">
        <v>37</v>
      </c>
      <c r="C97" t="s">
        <v>43</v>
      </c>
      <c r="D97" t="s">
        <v>31</v>
      </c>
      <c r="E97" t="s">
        <v>29</v>
      </c>
      <c r="F97">
        <v>2</v>
      </c>
      <c r="G97">
        <v>1200</v>
      </c>
      <c r="H97">
        <v>2400</v>
      </c>
    </row>
    <row r="98" spans="1:8" x14ac:dyDescent="0.25">
      <c r="A98" t="s">
        <v>25</v>
      </c>
      <c r="B98" t="s">
        <v>9</v>
      </c>
      <c r="C98" t="s">
        <v>18</v>
      </c>
      <c r="D98" t="s">
        <v>11</v>
      </c>
      <c r="E98" t="s">
        <v>12</v>
      </c>
      <c r="F98">
        <v>1</v>
      </c>
      <c r="G98">
        <v>150</v>
      </c>
      <c r="H98">
        <v>150</v>
      </c>
    </row>
    <row r="99" spans="1:8" x14ac:dyDescent="0.25">
      <c r="A99" t="s">
        <v>57</v>
      </c>
      <c r="B99" t="s">
        <v>41</v>
      </c>
      <c r="C99" t="s">
        <v>10</v>
      </c>
      <c r="D99" t="s">
        <v>16</v>
      </c>
      <c r="E99" t="s">
        <v>12</v>
      </c>
      <c r="F99">
        <v>9</v>
      </c>
      <c r="G99">
        <v>80</v>
      </c>
      <c r="H99">
        <v>720</v>
      </c>
    </row>
    <row r="100" spans="1:8" x14ac:dyDescent="0.25">
      <c r="A100" t="s">
        <v>46</v>
      </c>
      <c r="B100" t="s">
        <v>14</v>
      </c>
      <c r="C100" t="s">
        <v>43</v>
      </c>
      <c r="D100" t="s">
        <v>16</v>
      </c>
      <c r="E100" t="s">
        <v>12</v>
      </c>
      <c r="F100">
        <v>4</v>
      </c>
      <c r="G100">
        <v>80</v>
      </c>
      <c r="H100">
        <v>320</v>
      </c>
    </row>
    <row r="101" spans="1:8" x14ac:dyDescent="0.25">
      <c r="A101" t="s">
        <v>52</v>
      </c>
      <c r="B101" t="s">
        <v>9</v>
      </c>
      <c r="C101" t="s">
        <v>15</v>
      </c>
      <c r="D101" t="s">
        <v>28</v>
      </c>
      <c r="E101" t="s">
        <v>29</v>
      </c>
      <c r="F101">
        <v>10</v>
      </c>
      <c r="G101">
        <v>3500</v>
      </c>
      <c r="H101">
        <v>35000</v>
      </c>
    </row>
    <row r="102" spans="1:8" x14ac:dyDescent="0.25">
      <c r="A102" t="s">
        <v>59</v>
      </c>
      <c r="B102" t="s">
        <v>24</v>
      </c>
      <c r="C102" t="s">
        <v>18</v>
      </c>
      <c r="D102" t="s">
        <v>31</v>
      </c>
      <c r="E102" t="s">
        <v>29</v>
      </c>
      <c r="F102">
        <v>3</v>
      </c>
      <c r="G102">
        <v>1200</v>
      </c>
      <c r="H102">
        <v>3600</v>
      </c>
    </row>
    <row r="103" spans="1:8" x14ac:dyDescent="0.25">
      <c r="A103" t="s">
        <v>26</v>
      </c>
      <c r="B103" t="s">
        <v>14</v>
      </c>
      <c r="C103" t="s">
        <v>21</v>
      </c>
      <c r="D103" t="s">
        <v>11</v>
      </c>
      <c r="E103" t="s">
        <v>12</v>
      </c>
      <c r="F103">
        <v>5</v>
      </c>
      <c r="G103">
        <v>150</v>
      </c>
      <c r="H103">
        <v>750</v>
      </c>
    </row>
    <row r="104" spans="1:8" x14ac:dyDescent="0.25">
      <c r="A104" t="s">
        <v>66</v>
      </c>
      <c r="B104" t="s">
        <v>24</v>
      </c>
      <c r="C104" t="s">
        <v>18</v>
      </c>
      <c r="D104" t="s">
        <v>16</v>
      </c>
      <c r="E104" t="s">
        <v>12</v>
      </c>
      <c r="F104">
        <v>8</v>
      </c>
      <c r="G104">
        <v>80</v>
      </c>
      <c r="H104">
        <v>640</v>
      </c>
    </row>
    <row r="105" spans="1:8" x14ac:dyDescent="0.25">
      <c r="A105" t="s">
        <v>38</v>
      </c>
      <c r="B105" t="s">
        <v>14</v>
      </c>
      <c r="C105" t="s">
        <v>43</v>
      </c>
      <c r="D105" t="s">
        <v>28</v>
      </c>
      <c r="E105" t="s">
        <v>29</v>
      </c>
      <c r="F105">
        <v>5</v>
      </c>
      <c r="G105">
        <v>3500</v>
      </c>
      <c r="H105">
        <v>17500</v>
      </c>
    </row>
    <row r="106" spans="1:8" x14ac:dyDescent="0.25">
      <c r="A106" t="s">
        <v>59</v>
      </c>
      <c r="B106" t="s">
        <v>41</v>
      </c>
      <c r="C106" t="s">
        <v>21</v>
      </c>
      <c r="D106" t="s">
        <v>31</v>
      </c>
      <c r="E106" t="s">
        <v>29</v>
      </c>
      <c r="F106">
        <v>5</v>
      </c>
      <c r="G106">
        <v>1200</v>
      </c>
      <c r="H106">
        <v>6000</v>
      </c>
    </row>
    <row r="107" spans="1:8" x14ac:dyDescent="0.25">
      <c r="A107" t="s">
        <v>70</v>
      </c>
      <c r="B107" t="s">
        <v>24</v>
      </c>
      <c r="C107" t="s">
        <v>15</v>
      </c>
      <c r="D107" t="s">
        <v>31</v>
      </c>
      <c r="E107" t="s">
        <v>29</v>
      </c>
      <c r="F107">
        <v>5</v>
      </c>
      <c r="G107">
        <v>1200</v>
      </c>
      <c r="H107">
        <v>6000</v>
      </c>
    </row>
    <row r="108" spans="1:8" x14ac:dyDescent="0.25">
      <c r="A108" t="s">
        <v>71</v>
      </c>
      <c r="B108" t="s">
        <v>24</v>
      </c>
      <c r="C108" t="s">
        <v>27</v>
      </c>
      <c r="D108" t="s">
        <v>11</v>
      </c>
      <c r="E108" t="s">
        <v>12</v>
      </c>
      <c r="F108">
        <v>2</v>
      </c>
      <c r="G108">
        <v>150</v>
      </c>
      <c r="H108">
        <v>300</v>
      </c>
    </row>
    <row r="109" spans="1:8" x14ac:dyDescent="0.25">
      <c r="A109" t="s">
        <v>57</v>
      </c>
      <c r="B109" t="s">
        <v>37</v>
      </c>
      <c r="C109" t="s">
        <v>27</v>
      </c>
      <c r="D109" t="s">
        <v>19</v>
      </c>
      <c r="E109" t="s">
        <v>12</v>
      </c>
      <c r="F109">
        <v>6</v>
      </c>
      <c r="G109">
        <v>300</v>
      </c>
      <c r="H109">
        <v>1800</v>
      </c>
    </row>
    <row r="110" spans="1:8" x14ac:dyDescent="0.25">
      <c r="A110" t="s">
        <v>72</v>
      </c>
      <c r="B110" t="s">
        <v>41</v>
      </c>
      <c r="C110" t="s">
        <v>21</v>
      </c>
      <c r="D110" t="s">
        <v>19</v>
      </c>
      <c r="E110" t="s">
        <v>12</v>
      </c>
      <c r="F110">
        <v>3</v>
      </c>
      <c r="G110">
        <v>300</v>
      </c>
      <c r="H110">
        <v>900</v>
      </c>
    </row>
    <row r="111" spans="1:8" x14ac:dyDescent="0.25">
      <c r="A111" t="s">
        <v>64</v>
      </c>
      <c r="B111" t="s">
        <v>24</v>
      </c>
      <c r="C111" t="s">
        <v>10</v>
      </c>
      <c r="D111" t="s">
        <v>28</v>
      </c>
      <c r="E111" t="s">
        <v>29</v>
      </c>
      <c r="F111">
        <v>8</v>
      </c>
      <c r="G111">
        <v>3500</v>
      </c>
      <c r="H111">
        <v>28000</v>
      </c>
    </row>
    <row r="112" spans="1:8" x14ac:dyDescent="0.25">
      <c r="A112" t="s">
        <v>68</v>
      </c>
      <c r="B112" t="s">
        <v>14</v>
      </c>
      <c r="C112" t="s">
        <v>27</v>
      </c>
      <c r="D112" t="s">
        <v>19</v>
      </c>
      <c r="E112" t="s">
        <v>12</v>
      </c>
      <c r="F112">
        <v>10</v>
      </c>
      <c r="G112">
        <v>300</v>
      </c>
      <c r="H112">
        <v>3000</v>
      </c>
    </row>
    <row r="113" spans="1:12" x14ac:dyDescent="0.25">
      <c r="A113" t="s">
        <v>38</v>
      </c>
      <c r="B113" t="s">
        <v>41</v>
      </c>
      <c r="C113" t="s">
        <v>43</v>
      </c>
      <c r="D113" t="s">
        <v>28</v>
      </c>
      <c r="E113" t="s">
        <v>29</v>
      </c>
      <c r="F113">
        <v>9</v>
      </c>
      <c r="G113">
        <v>3500</v>
      </c>
      <c r="H113">
        <v>31500</v>
      </c>
    </row>
    <row r="114" spans="1:12" x14ac:dyDescent="0.25">
      <c r="A114" t="s">
        <v>73</v>
      </c>
      <c r="B114" t="s">
        <v>37</v>
      </c>
      <c r="C114" t="s">
        <v>15</v>
      </c>
      <c r="D114" t="s">
        <v>31</v>
      </c>
      <c r="E114" t="s">
        <v>29</v>
      </c>
      <c r="F114">
        <v>1</v>
      </c>
      <c r="G114">
        <v>1200</v>
      </c>
      <c r="H114">
        <v>1200</v>
      </c>
    </row>
    <row r="115" spans="1:12" x14ac:dyDescent="0.25">
      <c r="A115" t="s">
        <v>46</v>
      </c>
      <c r="B115" t="s">
        <v>9</v>
      </c>
      <c r="C115" t="s">
        <v>18</v>
      </c>
      <c r="D115" t="s">
        <v>11</v>
      </c>
      <c r="E115" t="s">
        <v>12</v>
      </c>
      <c r="F115">
        <v>3</v>
      </c>
      <c r="G115">
        <v>150</v>
      </c>
      <c r="H115">
        <v>450</v>
      </c>
      <c r="L115">
        <f>MIN(A2:A121)</f>
        <v>0</v>
      </c>
    </row>
    <row r="116" spans="1:12" x14ac:dyDescent="0.25">
      <c r="A116" t="s">
        <v>74</v>
      </c>
      <c r="B116" t="s">
        <v>14</v>
      </c>
      <c r="C116" t="s">
        <v>10</v>
      </c>
      <c r="D116" t="s">
        <v>19</v>
      </c>
      <c r="E116" t="s">
        <v>12</v>
      </c>
      <c r="F116">
        <v>4</v>
      </c>
      <c r="G116">
        <v>300</v>
      </c>
      <c r="H116">
        <v>1200</v>
      </c>
    </row>
    <row r="117" spans="1:12" x14ac:dyDescent="0.25">
      <c r="A117" t="s">
        <v>39</v>
      </c>
      <c r="B117" t="s">
        <v>37</v>
      </c>
      <c r="C117" t="s">
        <v>21</v>
      </c>
      <c r="D117" t="s">
        <v>31</v>
      </c>
      <c r="E117" t="s">
        <v>29</v>
      </c>
      <c r="F117">
        <v>8</v>
      </c>
      <c r="G117">
        <v>1200</v>
      </c>
      <c r="H117">
        <v>9600</v>
      </c>
    </row>
    <row r="118" spans="1:12" x14ac:dyDescent="0.25">
      <c r="A118" t="s">
        <v>17</v>
      </c>
      <c r="B118" t="s">
        <v>37</v>
      </c>
      <c r="C118" t="s">
        <v>18</v>
      </c>
      <c r="D118" t="s">
        <v>11</v>
      </c>
      <c r="E118" t="s">
        <v>12</v>
      </c>
      <c r="F118">
        <v>5</v>
      </c>
      <c r="G118">
        <v>150</v>
      </c>
      <c r="H118">
        <v>750</v>
      </c>
    </row>
    <row r="119" spans="1:12" x14ac:dyDescent="0.25">
      <c r="A119" t="s">
        <v>75</v>
      </c>
      <c r="B119" t="s">
        <v>9</v>
      </c>
      <c r="C119" t="s">
        <v>18</v>
      </c>
      <c r="D119" t="s">
        <v>28</v>
      </c>
      <c r="E119" t="s">
        <v>29</v>
      </c>
      <c r="F119">
        <v>8</v>
      </c>
      <c r="G119">
        <v>3500</v>
      </c>
      <c r="H119">
        <v>28000</v>
      </c>
    </row>
    <row r="120" spans="1:12" x14ac:dyDescent="0.25">
      <c r="A120" t="s">
        <v>45</v>
      </c>
      <c r="B120" t="s">
        <v>24</v>
      </c>
      <c r="C120" t="s">
        <v>21</v>
      </c>
      <c r="D120" t="s">
        <v>28</v>
      </c>
      <c r="E120" t="s">
        <v>29</v>
      </c>
      <c r="F120">
        <v>8</v>
      </c>
      <c r="G120">
        <v>3500</v>
      </c>
      <c r="H120">
        <v>28000</v>
      </c>
    </row>
    <row r="121" spans="1:12" x14ac:dyDescent="0.25">
      <c r="A121" t="s">
        <v>13</v>
      </c>
      <c r="B121" t="s">
        <v>41</v>
      </c>
      <c r="C121" t="s">
        <v>27</v>
      </c>
      <c r="D121" t="s">
        <v>16</v>
      </c>
      <c r="E121" t="s">
        <v>12</v>
      </c>
      <c r="F121">
        <v>4</v>
      </c>
      <c r="G121">
        <v>80</v>
      </c>
      <c r="H121">
        <v>320</v>
      </c>
    </row>
  </sheetData>
  <autoFilter ref="A1:H121" xr:uid="{889A7EB9-1578-4784-A414-4DE1D84B8653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06534-7922-4B8C-B764-DD53BC98BDF9}">
  <dimension ref="E3:S33"/>
  <sheetViews>
    <sheetView showGridLines="0" workbookViewId="0">
      <selection activeCell="M32" sqref="M32"/>
    </sheetView>
  </sheetViews>
  <sheetFormatPr defaultRowHeight="15" x14ac:dyDescent="0.25"/>
  <cols>
    <col min="5" max="5" width="18" bestFit="1" customWidth="1"/>
    <col min="6" max="6" width="18.85546875" bestFit="1" customWidth="1"/>
    <col min="7" max="7" width="19.5703125" bestFit="1" customWidth="1"/>
    <col min="8" max="8" width="18" bestFit="1" customWidth="1"/>
    <col min="9" max="9" width="18.85546875" bestFit="1" customWidth="1"/>
    <col min="10" max="10" width="17.42578125" bestFit="1" customWidth="1"/>
    <col min="11" max="54" width="19.5703125" bestFit="1" customWidth="1"/>
    <col min="55" max="55" width="10.7109375" bestFit="1" customWidth="1"/>
  </cols>
  <sheetData>
    <row r="3" spans="5:19" x14ac:dyDescent="0.25">
      <c r="E3" s="1" t="s">
        <v>1</v>
      </c>
      <c r="F3" t="s">
        <v>24</v>
      </c>
    </row>
    <row r="5" spans="5:19" x14ac:dyDescent="0.25">
      <c r="E5" s="1" t="s">
        <v>76</v>
      </c>
      <c r="F5" t="s">
        <v>78</v>
      </c>
    </row>
    <row r="6" spans="5:19" x14ac:dyDescent="0.25">
      <c r="E6" s="2" t="s">
        <v>12</v>
      </c>
      <c r="F6" s="3">
        <v>66</v>
      </c>
    </row>
    <row r="7" spans="5:19" x14ac:dyDescent="0.25">
      <c r="E7" s="2" t="s">
        <v>29</v>
      </c>
      <c r="F7" s="3">
        <v>79</v>
      </c>
    </row>
    <row r="8" spans="5:19" x14ac:dyDescent="0.25">
      <c r="E8" s="2" t="s">
        <v>77</v>
      </c>
      <c r="F8" s="3">
        <v>145</v>
      </c>
    </row>
    <row r="12" spans="5:19" x14ac:dyDescent="0.25">
      <c r="E12" s="1" t="s">
        <v>1</v>
      </c>
      <c r="F12" t="s">
        <v>24</v>
      </c>
      <c r="H12" s="1" t="s">
        <v>2</v>
      </c>
      <c r="I12" t="s">
        <v>21</v>
      </c>
    </row>
    <row r="14" spans="5:19" x14ac:dyDescent="0.25">
      <c r="E14" s="1" t="s">
        <v>76</v>
      </c>
      <c r="F14" t="s">
        <v>79</v>
      </c>
      <c r="G14" s="1"/>
      <c r="H14" s="1" t="s">
        <v>76</v>
      </c>
      <c r="I14" t="s">
        <v>79</v>
      </c>
      <c r="K14" s="1"/>
      <c r="L14" s="1"/>
      <c r="M14" s="1"/>
      <c r="N14" s="1"/>
      <c r="O14" s="1"/>
      <c r="P14" s="1"/>
      <c r="Q14" s="1"/>
      <c r="R14" s="1"/>
      <c r="S14" s="1"/>
    </row>
    <row r="15" spans="5:19" x14ac:dyDescent="0.25">
      <c r="E15" s="2" t="s">
        <v>12</v>
      </c>
      <c r="F15" s="4">
        <v>11180</v>
      </c>
      <c r="H15" s="2" t="s">
        <v>19</v>
      </c>
      <c r="I15" s="4">
        <v>2700</v>
      </c>
    </row>
    <row r="16" spans="5:19" x14ac:dyDescent="0.25">
      <c r="E16" s="2" t="s">
        <v>29</v>
      </c>
      <c r="F16" s="4">
        <v>189100</v>
      </c>
      <c r="G16" s="1"/>
      <c r="H16" s="2" t="s">
        <v>31</v>
      </c>
      <c r="I16" s="4">
        <v>32400</v>
      </c>
      <c r="K16" s="1"/>
      <c r="L16" s="1"/>
      <c r="M16" s="1"/>
      <c r="N16" s="1"/>
      <c r="O16" s="1"/>
      <c r="P16" s="1"/>
      <c r="Q16" s="1"/>
      <c r="R16" s="1"/>
      <c r="S16" s="1"/>
    </row>
    <row r="17" spans="5:9" x14ac:dyDescent="0.25">
      <c r="E17" s="2" t="s">
        <v>77</v>
      </c>
      <c r="F17" s="4">
        <v>200280</v>
      </c>
      <c r="H17" s="2" t="s">
        <v>16</v>
      </c>
      <c r="I17" s="4">
        <v>3760</v>
      </c>
    </row>
    <row r="18" spans="5:9" x14ac:dyDescent="0.25">
      <c r="H18" s="2" t="s">
        <v>28</v>
      </c>
      <c r="I18" s="4">
        <v>49000</v>
      </c>
    </row>
    <row r="19" spans="5:9" x14ac:dyDescent="0.25">
      <c r="H19" s="2" t="s">
        <v>11</v>
      </c>
      <c r="I19" s="4">
        <v>5850</v>
      </c>
    </row>
    <row r="20" spans="5:9" x14ac:dyDescent="0.25">
      <c r="H20" s="2" t="s">
        <v>77</v>
      </c>
      <c r="I20" s="4">
        <v>93710</v>
      </c>
    </row>
    <row r="21" spans="5:9" x14ac:dyDescent="0.25">
      <c r="G21" s="1"/>
      <c r="H21" s="1"/>
      <c r="I21" s="1"/>
    </row>
    <row r="25" spans="5:9" x14ac:dyDescent="0.25">
      <c r="E25" s="1" t="s">
        <v>1</v>
      </c>
      <c r="F25" t="s">
        <v>24</v>
      </c>
    </row>
    <row r="27" spans="5:9" x14ac:dyDescent="0.25">
      <c r="E27" s="1" t="s">
        <v>76</v>
      </c>
      <c r="F27" t="s">
        <v>80</v>
      </c>
      <c r="G27" s="1"/>
    </row>
    <row r="28" spans="5:9" x14ac:dyDescent="0.25">
      <c r="E28" s="2" t="s">
        <v>19</v>
      </c>
      <c r="F28" s="3">
        <v>5</v>
      </c>
      <c r="G28" s="1"/>
    </row>
    <row r="29" spans="5:9" x14ac:dyDescent="0.25">
      <c r="E29" s="2" t="s">
        <v>31</v>
      </c>
      <c r="F29" s="3">
        <v>6</v>
      </c>
    </row>
    <row r="30" spans="5:9" x14ac:dyDescent="0.25">
      <c r="E30" s="2" t="s">
        <v>16</v>
      </c>
      <c r="F30" s="3">
        <v>6</v>
      </c>
    </row>
    <row r="31" spans="5:9" x14ac:dyDescent="0.25">
      <c r="E31" s="2" t="s">
        <v>28</v>
      </c>
      <c r="F31" s="3">
        <v>9</v>
      </c>
    </row>
    <row r="32" spans="5:9" x14ac:dyDescent="0.25">
      <c r="E32" s="2" t="s">
        <v>11</v>
      </c>
      <c r="F32" s="3">
        <v>3</v>
      </c>
    </row>
    <row r="33" spans="5:6" x14ac:dyDescent="0.25">
      <c r="E33" s="2" t="s">
        <v>77</v>
      </c>
      <c r="F33" s="3">
        <v>29</v>
      </c>
    </row>
  </sheetData>
  <pageMargins left="0.511811024" right="0.511811024" top="0.78740157499999996" bottom="0.78740157499999996" header="0.31496062000000002" footer="0.31496062000000002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DC84A-5BFC-4F35-AB20-1CBF70FF490D}">
  <dimension ref="A1:AV171"/>
  <sheetViews>
    <sheetView showGridLines="0" tabSelected="1" workbookViewId="0">
      <selection activeCell="N27" sqref="N27"/>
    </sheetView>
  </sheetViews>
  <sheetFormatPr defaultRowHeight="15" x14ac:dyDescent="0.25"/>
  <cols>
    <col min="2" max="2" width="21.7109375" customWidth="1"/>
  </cols>
  <sheetData>
    <row r="1" spans="1:48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</row>
    <row r="2" spans="1:48" ht="47.25" thickBot="1" x14ac:dyDescent="0.75">
      <c r="A2" s="5"/>
      <c r="B2" s="5"/>
      <c r="C2" s="12" t="s">
        <v>81</v>
      </c>
      <c r="D2" s="10"/>
      <c r="E2" s="11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</row>
    <row r="3" spans="1:48" ht="15.75" thickTop="1" x14ac:dyDescent="0.25">
      <c r="A3" s="5"/>
      <c r="B3" s="5"/>
      <c r="C3" s="7"/>
      <c r="D3" s="7"/>
      <c r="E3" s="7"/>
      <c r="F3" s="7"/>
      <c r="G3" s="7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</row>
    <row r="4" spans="1:48" ht="6" customHeight="1" x14ac:dyDescent="0.25">
      <c r="A4" s="5"/>
      <c r="B4" s="5"/>
      <c r="C4" s="7"/>
      <c r="D4" s="7"/>
      <c r="E4" s="7"/>
      <c r="F4" s="7"/>
      <c r="G4" s="7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</row>
    <row r="5" spans="1:48" ht="0.75" customHeight="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</row>
    <row r="6" spans="1:48" x14ac:dyDescent="0.25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</row>
    <row r="7" spans="1:48" x14ac:dyDescent="0.25">
      <c r="A7" s="5"/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</row>
    <row r="8" spans="1:48" x14ac:dyDescent="0.25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</row>
    <row r="9" spans="1:48" x14ac:dyDescent="0.25">
      <c r="A9" s="5"/>
      <c r="B9" s="5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</row>
    <row r="10" spans="1:48" x14ac:dyDescent="0.25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</row>
    <row r="11" spans="1:48" x14ac:dyDescent="0.25">
      <c r="A11" s="5"/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</row>
    <row r="12" spans="1:48" x14ac:dyDescent="0.25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</row>
    <row r="13" spans="1:48" x14ac:dyDescent="0.25">
      <c r="A13" s="5"/>
      <c r="B13" s="5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</row>
    <row r="14" spans="1:48" x14ac:dyDescent="0.25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</row>
    <row r="15" spans="1:48" x14ac:dyDescent="0.25">
      <c r="A15" s="5"/>
      <c r="B15" s="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</row>
    <row r="16" spans="1:48" x14ac:dyDescent="0.25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</row>
    <row r="17" spans="1:48" x14ac:dyDescent="0.25">
      <c r="A17" s="5"/>
      <c r="B17" s="5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</row>
    <row r="18" spans="1:48" x14ac:dyDescent="0.25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</row>
    <row r="19" spans="1:48" x14ac:dyDescent="0.25">
      <c r="A19" s="5"/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</row>
    <row r="20" spans="1:48" x14ac:dyDescent="0.25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</row>
    <row r="21" spans="1:48" x14ac:dyDescent="0.25">
      <c r="A21" s="5"/>
      <c r="B21" s="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</row>
    <row r="22" spans="1:48" x14ac:dyDescent="0.25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</row>
    <row r="23" spans="1:48" x14ac:dyDescent="0.25">
      <c r="A23" s="5"/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</row>
    <row r="24" spans="1:48" x14ac:dyDescent="0.25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</row>
    <row r="25" spans="1:48" x14ac:dyDescent="0.25">
      <c r="A25" s="5"/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</row>
    <row r="26" spans="1:48" x14ac:dyDescent="0.25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</row>
    <row r="27" spans="1:48" x14ac:dyDescent="0.25">
      <c r="A27" s="5"/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</row>
    <row r="28" spans="1:48" x14ac:dyDescent="0.25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</row>
    <row r="29" spans="1:48" x14ac:dyDescent="0.25">
      <c r="A29" s="5"/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</row>
    <row r="30" spans="1:48" x14ac:dyDescent="0.25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</row>
    <row r="31" spans="1:48" x14ac:dyDescent="0.25">
      <c r="A31" s="5"/>
      <c r="B31" s="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</row>
    <row r="32" spans="1:48" x14ac:dyDescent="0.25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</row>
    <row r="33" spans="1:48" x14ac:dyDescent="0.25">
      <c r="A33" s="5"/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</row>
    <row r="34" spans="1:48" x14ac:dyDescent="0.25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</row>
    <row r="35" spans="1:48" x14ac:dyDescent="0.25">
      <c r="A35" s="5"/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</row>
    <row r="36" spans="1:48" x14ac:dyDescent="0.25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</row>
    <row r="37" spans="1:48" x14ac:dyDescent="0.25">
      <c r="A37" s="5"/>
      <c r="B37" s="5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</row>
    <row r="38" spans="1:48" x14ac:dyDescent="0.25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</row>
    <row r="39" spans="1:48" x14ac:dyDescent="0.25">
      <c r="A39" s="5"/>
      <c r="B39" s="5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</row>
    <row r="40" spans="1:48" x14ac:dyDescent="0.25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</row>
    <row r="41" spans="1:48" x14ac:dyDescent="0.25">
      <c r="A41" s="5"/>
      <c r="B41" s="5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</row>
    <row r="42" spans="1:48" x14ac:dyDescent="0.25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</row>
    <row r="43" spans="1:48" x14ac:dyDescent="0.25">
      <c r="A43" s="5"/>
      <c r="B43" s="5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</row>
    <row r="44" spans="1:48" x14ac:dyDescent="0.25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</row>
    <row r="45" spans="1:48" x14ac:dyDescent="0.25">
      <c r="A45" s="5"/>
      <c r="B45" s="5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</row>
    <row r="46" spans="1:48" x14ac:dyDescent="0.25">
      <c r="A46" s="5"/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</row>
    <row r="47" spans="1:48" x14ac:dyDescent="0.25">
      <c r="A47" s="5"/>
      <c r="B47" s="5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</row>
    <row r="48" spans="1:48" x14ac:dyDescent="0.25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</row>
    <row r="49" spans="1:48" x14ac:dyDescent="0.25">
      <c r="A49" s="5"/>
      <c r="B49" s="5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</row>
    <row r="50" spans="1:48" x14ac:dyDescent="0.25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48" x14ac:dyDescent="0.25">
      <c r="A51" s="5"/>
      <c r="B51" s="5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</row>
    <row r="52" spans="1:48" x14ac:dyDescent="0.25">
      <c r="A52" s="5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48" x14ac:dyDescent="0.25">
      <c r="A53" s="5"/>
      <c r="B53" s="5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</row>
    <row r="54" spans="1:48" x14ac:dyDescent="0.25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</row>
    <row r="55" spans="1:48" x14ac:dyDescent="0.25">
      <c r="A55" s="5"/>
      <c r="B55" s="5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</row>
    <row r="56" spans="1:48" x14ac:dyDescent="0.25">
      <c r="A56" s="5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</row>
    <row r="57" spans="1:48" x14ac:dyDescent="0.25">
      <c r="A57" s="5"/>
      <c r="B57" s="5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</row>
    <row r="58" spans="1:48" x14ac:dyDescent="0.25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</row>
    <row r="59" spans="1:48" x14ac:dyDescent="0.25">
      <c r="A59" s="5"/>
      <c r="B59" s="5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</row>
    <row r="60" spans="1:48" x14ac:dyDescent="0.25">
      <c r="A60" s="5"/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</row>
    <row r="61" spans="1:48" x14ac:dyDescent="0.25">
      <c r="A61" s="5"/>
      <c r="B61" s="5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</row>
    <row r="62" spans="1:48" x14ac:dyDescent="0.25">
      <c r="A62" s="5"/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</row>
    <row r="63" spans="1:48" x14ac:dyDescent="0.25">
      <c r="A63" s="5"/>
      <c r="B63" s="5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</row>
    <row r="64" spans="1:48" x14ac:dyDescent="0.25">
      <c r="A64" s="5"/>
      <c r="B64" s="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</row>
    <row r="65" spans="1:48" x14ac:dyDescent="0.25">
      <c r="A65" s="5"/>
      <c r="B65" s="5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</row>
    <row r="66" spans="1:48" x14ac:dyDescent="0.25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</row>
    <row r="67" spans="1:48" x14ac:dyDescent="0.25">
      <c r="A67" s="5"/>
      <c r="B67" s="5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</row>
    <row r="68" spans="1:48" x14ac:dyDescent="0.25">
      <c r="A68" s="5"/>
      <c r="B68" s="5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</row>
    <row r="69" spans="1:48" x14ac:dyDescent="0.25">
      <c r="A69" s="5"/>
      <c r="B69" s="5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</row>
    <row r="70" spans="1:48" x14ac:dyDescent="0.25">
      <c r="A70" s="5"/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</row>
    <row r="71" spans="1:48" x14ac:dyDescent="0.25">
      <c r="A71" s="5"/>
      <c r="B71" s="5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</row>
    <row r="72" spans="1:48" x14ac:dyDescent="0.25">
      <c r="A72" s="5"/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</row>
    <row r="73" spans="1:48" x14ac:dyDescent="0.25">
      <c r="A73" s="5"/>
      <c r="B73" s="5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</row>
    <row r="74" spans="1:48" x14ac:dyDescent="0.25">
      <c r="A74" s="5"/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</row>
    <row r="75" spans="1:48" x14ac:dyDescent="0.25">
      <c r="A75" s="5"/>
      <c r="B75" s="5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</row>
    <row r="76" spans="1:48" x14ac:dyDescent="0.25">
      <c r="A76" s="5"/>
      <c r="B76" s="5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</row>
    <row r="77" spans="1:48" x14ac:dyDescent="0.25">
      <c r="A77" s="5"/>
      <c r="B77" s="5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</row>
    <row r="78" spans="1:48" x14ac:dyDescent="0.25">
      <c r="A78" s="5"/>
      <c r="B78" s="5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</row>
    <row r="79" spans="1:48" x14ac:dyDescent="0.25">
      <c r="A79" s="5"/>
      <c r="B79" s="5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</row>
    <row r="80" spans="1:48" x14ac:dyDescent="0.25">
      <c r="A80" s="5"/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</row>
    <row r="81" spans="1:48" x14ac:dyDescent="0.25">
      <c r="A81" s="5"/>
      <c r="B81" s="5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</row>
    <row r="82" spans="1:48" x14ac:dyDescent="0.25">
      <c r="A82" s="5"/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</row>
    <row r="83" spans="1:48" x14ac:dyDescent="0.25">
      <c r="A83" s="5"/>
      <c r="B83" s="5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</row>
    <row r="84" spans="1:48" x14ac:dyDescent="0.25">
      <c r="A84" s="5"/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</row>
    <row r="85" spans="1:48" x14ac:dyDescent="0.25">
      <c r="A85" s="5"/>
      <c r="B85" s="5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</row>
    <row r="86" spans="1:48" x14ac:dyDescent="0.25">
      <c r="A86" s="5"/>
      <c r="B86" s="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</row>
    <row r="87" spans="1:48" x14ac:dyDescent="0.25">
      <c r="A87" s="5"/>
      <c r="B87" s="5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</row>
    <row r="88" spans="1:48" x14ac:dyDescent="0.25">
      <c r="A88" s="5"/>
      <c r="B88" s="5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</row>
    <row r="89" spans="1:48" x14ac:dyDescent="0.25">
      <c r="A89" s="5"/>
      <c r="B89" s="5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</row>
    <row r="90" spans="1:48" x14ac:dyDescent="0.25">
      <c r="A90" s="5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</row>
    <row r="91" spans="1:48" x14ac:dyDescent="0.25">
      <c r="A91" s="5"/>
      <c r="B91" s="5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</row>
    <row r="92" spans="1:48" x14ac:dyDescent="0.25">
      <c r="A92" s="5"/>
      <c r="B92" s="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</row>
    <row r="93" spans="1:48" x14ac:dyDescent="0.25">
      <c r="A93" s="5"/>
      <c r="B93" s="5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</row>
    <row r="94" spans="1:48" x14ac:dyDescent="0.25">
      <c r="A94" s="5"/>
      <c r="B94" s="5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</row>
    <row r="95" spans="1:48" x14ac:dyDescent="0.25">
      <c r="A95" s="5"/>
      <c r="B95" s="5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</row>
    <row r="96" spans="1:48" x14ac:dyDescent="0.25">
      <c r="A96" s="5"/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</row>
    <row r="97" spans="1:48" x14ac:dyDescent="0.25">
      <c r="A97" s="5"/>
      <c r="B97" s="5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</row>
    <row r="98" spans="1:48" x14ac:dyDescent="0.25">
      <c r="A98" s="5"/>
      <c r="B98" s="5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</row>
    <row r="99" spans="1:48" x14ac:dyDescent="0.25">
      <c r="A99" s="5"/>
      <c r="B99" s="5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</row>
    <row r="100" spans="1:48" x14ac:dyDescent="0.25">
      <c r="A100" s="5"/>
      <c r="B100" s="5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</row>
    <row r="101" spans="1:48" x14ac:dyDescent="0.25">
      <c r="A101" s="5"/>
      <c r="B101" s="5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</row>
    <row r="102" spans="1:48" x14ac:dyDescent="0.25">
      <c r="A102" s="5"/>
      <c r="B102" s="5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</row>
    <row r="103" spans="1:48" x14ac:dyDescent="0.25">
      <c r="A103" s="5"/>
      <c r="B103" s="5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</row>
    <row r="104" spans="1:48" x14ac:dyDescent="0.25">
      <c r="A104" s="5"/>
      <c r="B104" s="5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</row>
    <row r="105" spans="1:48" x14ac:dyDescent="0.25">
      <c r="A105" s="5"/>
      <c r="B105" s="5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</row>
    <row r="106" spans="1:48" x14ac:dyDescent="0.25">
      <c r="A106" s="5"/>
      <c r="B106" s="5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</row>
    <row r="107" spans="1:48" x14ac:dyDescent="0.25">
      <c r="A107" s="5"/>
      <c r="B107" s="5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</row>
    <row r="108" spans="1:48" x14ac:dyDescent="0.25">
      <c r="A108" s="5"/>
      <c r="B108" s="5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</row>
    <row r="109" spans="1:48" x14ac:dyDescent="0.25">
      <c r="A109" s="5"/>
      <c r="B109" s="5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</row>
    <row r="110" spans="1:48" x14ac:dyDescent="0.25">
      <c r="A110" s="5"/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</row>
    <row r="111" spans="1:48" x14ac:dyDescent="0.25">
      <c r="A111" s="5"/>
      <c r="B111" s="5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</row>
    <row r="112" spans="1:48" x14ac:dyDescent="0.25">
      <c r="A112" s="5"/>
      <c r="B112" s="5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</row>
    <row r="113" spans="1:48" x14ac:dyDescent="0.25">
      <c r="A113" s="5"/>
      <c r="B113" s="5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</row>
    <row r="114" spans="1:48" x14ac:dyDescent="0.25">
      <c r="A114" s="5"/>
      <c r="B114" s="5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</row>
    <row r="115" spans="1:48" x14ac:dyDescent="0.25">
      <c r="A115" s="5"/>
      <c r="B115" s="5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</row>
    <row r="116" spans="1:48" x14ac:dyDescent="0.25">
      <c r="A116" s="5"/>
      <c r="B116" s="5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</row>
    <row r="117" spans="1:48" x14ac:dyDescent="0.25">
      <c r="A117" s="5"/>
      <c r="B117" s="5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</row>
    <row r="118" spans="1:48" x14ac:dyDescent="0.25">
      <c r="A118" s="5"/>
      <c r="B118" s="5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</row>
    <row r="119" spans="1:48" x14ac:dyDescent="0.25">
      <c r="A119" s="5"/>
      <c r="B119" s="5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</row>
    <row r="120" spans="1:48" x14ac:dyDescent="0.25">
      <c r="A120" s="5"/>
      <c r="B120" s="5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</row>
    <row r="121" spans="1:48" x14ac:dyDescent="0.25">
      <c r="A121" s="5"/>
      <c r="B121" s="5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</row>
    <row r="122" spans="1:48" x14ac:dyDescent="0.25">
      <c r="A122" s="5"/>
      <c r="B122" s="5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</row>
    <row r="123" spans="1:48" x14ac:dyDescent="0.25">
      <c r="A123" s="5"/>
      <c r="B123" s="5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</row>
    <row r="124" spans="1:48" x14ac:dyDescent="0.25">
      <c r="A124" s="5"/>
      <c r="B124" s="5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</row>
    <row r="125" spans="1:48" x14ac:dyDescent="0.25">
      <c r="A125" s="5"/>
      <c r="B125" s="5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</row>
    <row r="126" spans="1:48" x14ac:dyDescent="0.25">
      <c r="A126" s="5"/>
      <c r="B126" s="5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</row>
    <row r="127" spans="1:48" x14ac:dyDescent="0.25">
      <c r="A127" s="5"/>
      <c r="B127" s="5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</row>
    <row r="128" spans="1:48" x14ac:dyDescent="0.25">
      <c r="A128" s="5"/>
      <c r="B128" s="5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</row>
    <row r="129" spans="1:48" x14ac:dyDescent="0.25">
      <c r="A129" s="5"/>
      <c r="B129" s="5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</row>
    <row r="130" spans="1:48" x14ac:dyDescent="0.25">
      <c r="A130" s="5"/>
      <c r="B130" s="5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</row>
    <row r="131" spans="1:48" x14ac:dyDescent="0.25">
      <c r="A131" s="5"/>
      <c r="B131" s="5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</row>
    <row r="132" spans="1:48" x14ac:dyDescent="0.25">
      <c r="A132" s="5"/>
      <c r="B132" s="5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</row>
    <row r="133" spans="1:48" x14ac:dyDescent="0.25">
      <c r="A133" s="5"/>
      <c r="B133" s="5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</row>
    <row r="134" spans="1:48" x14ac:dyDescent="0.25">
      <c r="A134" s="5"/>
      <c r="B134" s="5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</row>
    <row r="135" spans="1:48" x14ac:dyDescent="0.25">
      <c r="A135" s="5"/>
      <c r="B135" s="5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</row>
    <row r="136" spans="1:48" x14ac:dyDescent="0.25">
      <c r="A136" s="5"/>
      <c r="B136" s="5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</row>
    <row r="137" spans="1:48" x14ac:dyDescent="0.25">
      <c r="A137" s="5"/>
      <c r="B137" s="5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</row>
    <row r="138" spans="1:48" x14ac:dyDescent="0.25">
      <c r="A138" s="5"/>
      <c r="B138" s="5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</row>
    <row r="139" spans="1:48" x14ac:dyDescent="0.25">
      <c r="A139" s="5"/>
      <c r="B139" s="5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</row>
    <row r="140" spans="1:48" x14ac:dyDescent="0.25">
      <c r="A140" s="5"/>
      <c r="B140" s="5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</row>
    <row r="141" spans="1:48" x14ac:dyDescent="0.25">
      <c r="A141" s="5"/>
      <c r="B141" s="5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</row>
    <row r="142" spans="1:48" x14ac:dyDescent="0.25">
      <c r="A142" s="5"/>
      <c r="B142" s="5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</row>
    <row r="143" spans="1:48" x14ac:dyDescent="0.25">
      <c r="A143" s="5"/>
      <c r="B143" s="5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</row>
    <row r="144" spans="1:48" x14ac:dyDescent="0.25">
      <c r="A144" s="5"/>
      <c r="B144" s="5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</row>
    <row r="145" spans="1:48" x14ac:dyDescent="0.25">
      <c r="A145" s="5"/>
      <c r="B145" s="5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</row>
    <row r="146" spans="1:48" x14ac:dyDescent="0.25">
      <c r="A146" s="5"/>
      <c r="B146" s="5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</row>
    <row r="147" spans="1:48" x14ac:dyDescent="0.25">
      <c r="A147" s="5"/>
      <c r="B147" s="5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</row>
    <row r="148" spans="1:48" x14ac:dyDescent="0.25">
      <c r="A148" s="5"/>
      <c r="B148" s="5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</row>
    <row r="149" spans="1:48" x14ac:dyDescent="0.25">
      <c r="A149" s="5"/>
      <c r="B149" s="5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</row>
    <row r="150" spans="1:48" x14ac:dyDescent="0.25">
      <c r="A150" s="5"/>
      <c r="B150" s="5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</row>
    <row r="151" spans="1:48" x14ac:dyDescent="0.25">
      <c r="A151" s="5"/>
      <c r="B151" s="5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</row>
    <row r="152" spans="1:48" x14ac:dyDescent="0.25">
      <c r="A152" s="5"/>
      <c r="B152" s="5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</row>
    <row r="153" spans="1:48" x14ac:dyDescent="0.25">
      <c r="A153" s="5"/>
      <c r="B153" s="5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</row>
    <row r="154" spans="1:48" x14ac:dyDescent="0.25">
      <c r="A154" s="5"/>
      <c r="B154" s="5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</row>
    <row r="155" spans="1:48" x14ac:dyDescent="0.25">
      <c r="A155" s="5"/>
      <c r="B155" s="5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</row>
    <row r="156" spans="1:48" x14ac:dyDescent="0.25">
      <c r="A156" s="5"/>
      <c r="B156" s="5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</row>
    <row r="157" spans="1:48" x14ac:dyDescent="0.25">
      <c r="A157" s="5"/>
      <c r="B157" s="5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</row>
    <row r="158" spans="1:48" x14ac:dyDescent="0.25">
      <c r="A158" s="5"/>
      <c r="B158" s="5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</row>
    <row r="159" spans="1:48" x14ac:dyDescent="0.25">
      <c r="A159" s="5"/>
      <c r="B159" s="5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</row>
    <row r="160" spans="1:48" x14ac:dyDescent="0.25">
      <c r="A160" s="5"/>
      <c r="B160" s="5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</row>
    <row r="161" spans="1:48" x14ac:dyDescent="0.25">
      <c r="A161" s="5"/>
      <c r="B161" s="5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</row>
    <row r="162" spans="1:48" x14ac:dyDescent="0.25">
      <c r="A162" s="5"/>
      <c r="B162" s="5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</row>
    <row r="163" spans="1:48" x14ac:dyDescent="0.25">
      <c r="A163" s="5"/>
      <c r="B163" s="5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</row>
    <row r="164" spans="1:48" x14ac:dyDescent="0.25">
      <c r="A164" s="5"/>
      <c r="B164" s="5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</row>
    <row r="165" spans="1:48" x14ac:dyDescent="0.25">
      <c r="A165" s="5"/>
      <c r="B165" s="5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</row>
    <row r="166" spans="1:48" x14ac:dyDescent="0.25">
      <c r="A166" s="5"/>
      <c r="B166" s="5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</row>
    <row r="167" spans="1:48" x14ac:dyDescent="0.25">
      <c r="A167" s="5"/>
      <c r="B167" s="5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</row>
    <row r="168" spans="1:48" x14ac:dyDescent="0.25">
      <c r="A168" s="5"/>
      <c r="B168" s="5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</row>
    <row r="169" spans="1:48" x14ac:dyDescent="0.25">
      <c r="A169" s="5"/>
      <c r="B169" s="5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</row>
    <row r="170" spans="1:48" x14ac:dyDescent="0.25"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</row>
    <row r="171" spans="1:48" x14ac:dyDescent="0.25"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Assets</vt:lpstr>
      <vt:lpstr>Bases</vt:lpstr>
      <vt:lpstr>Calculos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</cp:lastModifiedBy>
  <dcterms:created xsi:type="dcterms:W3CDTF">2025-12-31T00:51:13Z</dcterms:created>
  <dcterms:modified xsi:type="dcterms:W3CDTF">2025-12-31T17:13:34Z</dcterms:modified>
</cp:coreProperties>
</file>